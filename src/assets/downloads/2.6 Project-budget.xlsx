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C:\Users\Lenovo\Downloads\"/>
    </mc:Choice>
  </mc:AlternateContent>
  <xr:revisionPtr revIDLastSave="605" documentId="13_ncr:1_{E050777A-1C22-4368-A306-FCA19D0D29B3}" xr6:coauthVersionLast="47" xr6:coauthVersionMax="47" xr10:uidLastSave="{7DDDABA0-6626-45E2-A50E-AB8FB02C0FDE}"/>
  <bookViews>
    <workbookView xWindow="-108" yWindow="-108" windowWidth="23256" windowHeight="12456" xr2:uid="{99CE6473-30E7-4758-9CEB-D169753BB5E3}"/>
  </bookViews>
  <sheets>
    <sheet name="Project budget." sheetId="7" r:id="rId1"/>
    <sheet name="Lapas1" sheetId="8" r:id="rId2"/>
    <sheet name="Help" sheetId="4" r:id="rId3"/>
    <sheet name="©" sheetId="5" r:id="rId4"/>
  </sheets>
  <definedNames>
    <definedName name="valuevx">42.314159</definedName>
    <definedName name="vertex42_copyright" hidden="1">"© 2019 Vertex42 LLC"</definedName>
    <definedName name="vertex42_id" hidden="1">"project-budget-detailed.xlsx"</definedName>
    <definedName name="vertex42_title" hidden="1">"Project Budget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7" l="1"/>
  <c r="J4" i="7"/>
  <c r="I36" i="7"/>
  <c r="B33" i="7"/>
  <c r="B36" i="7"/>
  <c r="I29" i="7"/>
  <c r="C34" i="7"/>
  <c r="C35" i="7"/>
  <c r="C33" i="7"/>
  <c r="C16" i="7"/>
  <c r="I35" i="7"/>
  <c r="I34" i="7"/>
  <c r="I28" i="7"/>
  <c r="I26" i="7"/>
  <c r="I25" i="7"/>
  <c r="I20" i="7"/>
  <c r="I21" i="7"/>
  <c r="I22" i="7"/>
  <c r="B19" i="7"/>
  <c r="I39" i="7"/>
  <c r="I40" i="7"/>
  <c r="I38" i="7"/>
  <c r="I33" i="7"/>
  <c r="I32" i="7" s="1"/>
  <c r="I27" i="7"/>
  <c r="I30" i="7"/>
  <c r="I31" i="7"/>
  <c r="I24" i="7"/>
  <c r="I23" i="7" s="1"/>
  <c r="I16" i="7"/>
  <c r="I17" i="7"/>
  <c r="I18" i="7"/>
  <c r="I19" i="7"/>
  <c r="I15" i="7"/>
  <c r="I10" i="7"/>
  <c r="I12" i="7"/>
  <c r="I37" i="7"/>
  <c r="I14" i="7"/>
  <c r="I13" i="7"/>
  <c r="I11" i="7"/>
  <c r="I9"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labas</author>
    <author>tc={86CDD5E9-7AB3-4175-AB9E-F76FE622A563}</author>
    <author>tc={E273DCB1-7B11-4A04-B979-F7BE989879C5}</author>
    <author>tc={5F5432EC-0C2F-4CF2-B863-B96A84C3D47D}</author>
    <author>tc={10D744A6-D8F3-4CAC-A972-31DF574A0A81}</author>
    <author>Rapolas Daugelis</author>
    <author>tc={7C03E9F7-FC47-4939-A998-EF3C0312B8BB}</author>
    <author>tc={BFEE14B3-C1D1-40DA-AF8B-5C194B8BFBB5}</author>
    <author>tc={DCFAE901-42B9-4F1C-8AB9-58534B24C739}</author>
    <author>tc={EC8735D8-88A7-4283-A6AC-7351719A846A}</author>
    <author>tc={FE9E4967-CBA0-44DF-8E3D-8F4A14EA7CFF}</author>
    <author>tc={98D1D0B3-AB27-4FE7-B3EC-53D3AF3015ED}</author>
    <author>tc={716E652E-F183-4957-AAE2-3CD5CBB8BEF3}</author>
    <author>tc={660F806C-F244-46D6-90AD-BD396F4A6F62}</author>
    <author>tc={BFE47ACB-F743-46AE-B26D-5F3EF5832A76}</author>
    <author>tc={739FA4F7-F4EB-4A71-B831-D40C85099478}</author>
    <author>tc={C983E068-E28A-4A56-85AC-21368DC426E0}</author>
    <author>tc={96741FA3-964A-4685-A026-5CA785E361DA}</author>
    <author>tc={B8FC226C-10D9-4F76-943F-BF70D59DF92E}</author>
    <author>tc={F0E46A63-5BB3-4B46-B416-C78B24D98CA8}</author>
    <author>tc={54CD7D77-005A-4D27-83FC-FFA0D2182E49}</author>
    <author>tc={147AE204-1B90-4605-B605-FD663F3018ED}</author>
    <author>tc={5A9172AD-AD63-4E0B-BF32-FBF330D06C16}</author>
    <author>tc={EE04BA93-6E81-4076-B740-883F1A7CF71C}</author>
    <author>tc={05DEABBB-2FF9-4728-B3EA-AFBD66D88A9C}</author>
    <author>tc={3A507E9F-022F-4F70-BF59-2905739A2189}</author>
    <author>tc={34456EFF-91D1-4878-A316-20655FD18C37}</author>
    <author>tc={69026531-E2BB-4513-8F84-57A8ACDB397A}</author>
    <author>tc={BA96CA7E-228E-41E1-AAC6-174158008458}</author>
    <author>tc={56B34907-F494-4A8D-B7CE-79D3A52938ED}</author>
    <author>tc={10555753-0482-4D19-9B41-32C65BAFC498}</author>
    <author>tc={1423A38A-7A18-454A-B89F-8AF63AFA69BC}</author>
    <author>tc={80A2D61F-96B8-4417-8AE2-C0B02E532CCE}</author>
    <author>tc={734D1C71-EC6F-4630-87F4-ACBFCC765842}</author>
    <author>tc={36A89C1F-CD4B-461E-A26C-2ACB53D1C501}</author>
  </authors>
  <commentList>
    <comment ref="B7" authorId="0" shapeId="0" xr:uid="{B84C1BB9-FF5C-468C-936F-4348C07F4793}">
      <text>
        <r>
          <rPr>
            <sz val="11"/>
            <color theme="1"/>
            <rFont val="Arial"/>
            <family val="2"/>
            <scheme val="minor"/>
          </rPr>
          <t xml:space="preserve">
Employees and machinery which need time (hours/days) to perform</t>
        </r>
      </text>
    </comment>
    <comment ref="D7" authorId="0" shapeId="0" xr:uid="{5B1B482B-858B-459E-A2C9-894CF8556FFB}">
      <text>
        <r>
          <rPr>
            <sz val="11"/>
            <color theme="1"/>
            <rFont val="Arial"/>
            <family val="2"/>
            <scheme val="minor"/>
          </rPr>
          <t xml:space="preserve">
Materials (such as bricks, oil, concrete, etc.) which do not depend on time.</t>
        </r>
      </text>
    </comment>
    <comment ref="F7" authorId="0" shapeId="0" xr:uid="{D7F4D344-2B56-417C-B99C-5E43234F7CE4}">
      <text>
        <r>
          <rPr>
            <sz val="11"/>
            <color theme="1"/>
            <rFont val="Arial"/>
            <family val="2"/>
            <scheme val="minor"/>
          </rPr>
          <t xml:space="preserve">
A fixed cost defines a single price for the service or product regardless of how much time and expense your company incurs.</t>
        </r>
      </text>
    </comment>
    <comment ref="C10" authorId="1" shapeId="0" xr:uid="{86CDD5E9-7AB3-4175-AB9E-F76FE622A563}">
      <text>
        <t xml:space="preserve">[Threaded comment]
Your version of Excel allows you to read this threaded comment; however, any edits to it will get removed if the file is opened in a newer version of Excel. Learn more: https://go.microsoft.com/fwlink/?linkid=870924
Comment:
    Yearly salary: https://www.jobted.co.za/salary/project-manager
Hourly salary converter: https://www.hiresava.com/south-african-salary-calculator </t>
      </text>
    </comment>
    <comment ref="C11" authorId="2" shapeId="0" xr:uid="{E273DCB1-7B11-4A04-B979-F7BE989879C5}">
      <text>
        <t xml:space="preserve">[Threaded comment]
Your version of Excel allows you to read this threaded comment; however, any edits to it will get removed if the file is opened in a newer version of Excel. Learn more: https://go.microsoft.com/fwlink/?linkid=870924
Comment:
    Yearly salary: https://www.jobted.co.za/salary/project-manager
Hourly salary converter: https://www.hiresava.com/south-african-salary-calculator </t>
      </text>
    </comment>
    <comment ref="C12" authorId="3" shapeId="0" xr:uid="{5F5432EC-0C2F-4CF2-B863-B96A84C3D47D}">
      <text>
        <t xml:space="preserve">[Threaded comment]
Your version of Excel allows you to read this threaded comment; however, any edits to it will get removed if the file is opened in a newer version of Excel. Learn more: https://go.microsoft.com/fwlink/?linkid=870924
Comment:
    Yearly salary: https://www.jobted.co.za/salary/project-manager
Hourly salary converter: https://www.hiresava.com/south-african-salary-calculator </t>
      </text>
    </comment>
    <comment ref="G12" authorId="4" shapeId="0" xr:uid="{10D744A6-D8F3-4CAC-A972-31DF574A0A81}">
      <text>
        <t xml:space="preserve">[Threaded comment]
Your version of Excel allows you to read this threaded comment; however, any edits to it will get removed if the file is opened in a newer version of Excel. Learn more: https://go.microsoft.com/fwlink/?linkid=870924
Comment:
    https://www.gov.za/news/media-statements/minister-gwede-mantashe-announces-adjustment-fuel-prices-effective-6-may-2026
Reply:
    https://sandtoncity.com/parking/ https://www.fcmtravel.com/en-za/resources/insights/business-travel-spend-south-africa-how-does-it-stack-2024 </t>
      </text>
    </comment>
    <comment ref="H12" authorId="5" shapeId="0" xr:uid="{802E41B1-7D51-4379-9A6B-1BB5936593A6}">
      <text>
        <r>
          <rPr>
            <sz val="11"/>
            <color theme="1"/>
            <rFont val="Arial"/>
            <family val="2"/>
            <scheme val="minor"/>
          </rPr>
          <t xml:space="preserve">https://alloutprint.co.za/product/copying-and-printing/ 
https://www.printandcopy.co.za/printing-2/flyer-price-list/
</t>
        </r>
      </text>
    </comment>
    <comment ref="C13" authorId="6" shapeId="0" xr:uid="{7C03E9F7-FC47-4939-A998-EF3C0312B8BB}">
      <text>
        <t xml:space="preserve">[Threaded comment]
Your version of Excel allows you to read this threaded comment; however, any edits to it will get removed if the file is opened in a newer version of Excel. Learn more: https://go.microsoft.com/fwlink/?linkid=870924
Comment:
    Yearly salary: https://www.jobted.co.za/salary/project-manager
Hourly salary converter: https://www.hiresava.com/south-african-salary-calculator </t>
      </text>
    </comment>
    <comment ref="C15" authorId="7" shapeId="0" xr:uid="{BFEE14B3-C1D1-40DA-AF8B-5C194B8BFBB5}">
      <text>
        <t xml:space="preserve">[Threaded comment]
Your version of Excel allows you to read this threaded comment; however, any edits to it will get removed if the file is opened in a newer version of Excel. Learn more: https://go.microsoft.com/fwlink/?linkid=870924
Comment:
    https://za.indeed.com/career/operation-specialist/salaries </t>
      </text>
    </comment>
    <comment ref="G15" authorId="8" shapeId="0" xr:uid="{DCFAE901-42B9-4F1C-8AB9-58534B24C739}">
      <text>
        <t xml:space="preserve">[Threaded comment]
Your version of Excel allows you to read this threaded comment; however, any edits to it will get removed if the file is opened in a newer version of Excel. Learn more: https://go.microsoft.com/fwlink/?linkid=870924
Comment:
    https://www.gov.za/news/media-statements/minister-gwede-mantashe-announces-adjustment-fuel-prices-effective-6-may-2026
 </t>
      </text>
    </comment>
    <comment ref="H15" authorId="9" shapeId="0" xr:uid="{EC8735D8-88A7-4283-A6AC-7351719A846A}">
      <text>
        <t xml:space="preserve">[Threaded comment]
Your version of Excel allows you to read this threaded comment; however, any edits to it will get removed if the file is opened in a newer version of Excel. Learn more: https://go.microsoft.com/fwlink/?linkid=870924
Comment:
    https://www.printandcopy.co.za/printing-2/flyer-price-list/ </t>
      </text>
    </comment>
    <comment ref="C16" authorId="10" shapeId="0" xr:uid="{FE9E4967-CBA0-44DF-8E3D-8F4A14EA7CFF}">
      <text>
        <t xml:space="preserve">[Threaded comment]
Your version of Excel allows you to read this threaded comment; however, any edits to it will get removed if the file is opened in a newer version of Excel. Learn more: https://go.microsoft.com/fwlink/?linkid=870924
Comment:
    https://worldsalaries.com/average-materials-scientist-salary-in-south-africa/ </t>
      </text>
    </comment>
    <comment ref="F16" authorId="11" shapeId="0" xr:uid="{98D1D0B3-AB27-4FE7-B3EC-53D3AF3015ED}">
      <text>
        <t xml:space="preserve">[Threaded comment]
Your version of Excel allows you to read this threaded comment; however, any edits to it will get removed if the file is opened in a newer version of Excel. Learn more: https://go.microsoft.com/fwlink/?linkid=870924
Comment:
    https://www.tradewheel.com/p/hdpe-resin-virginrecycled-hdpe-granules-hdpe-181799/ 
Reply:
    https://www.tradewheel.com/p/polypropylene-granules-virgin-pp-plastic-raw-181123/ </t>
      </text>
    </comment>
    <comment ref="C17" authorId="12" shapeId="0" xr:uid="{716E652E-F183-4957-AAE2-3CD5CBB8BEF3}">
      <text>
        <t xml:space="preserve">[Threaded comment]
Your version of Excel allows you to read this threaded comment; however, any edits to it will get removed if the file is opened in a newer version of Excel. Learn more: https://go.microsoft.com/fwlink/?linkid=870924
Comment:
    https://www.jobted.co.za/salary/project-manager </t>
      </text>
    </comment>
    <comment ref="C18" authorId="13" shapeId="0" xr:uid="{660F806C-F244-46D6-90AD-BD396F4A6F62}">
      <text>
        <t>[Threaded comment]
Your version of Excel allows you to read this threaded comment; however, any edits to it will get removed if the file is opened in a newer version of Excel. Learn more: https://go.microsoft.com/fwlink/?linkid=870924
Comment:
    https://www.ourpower.co.za/jobs/salary/mechanical-engineer</t>
      </text>
    </comment>
    <comment ref="H18" authorId="14" shapeId="0" xr:uid="{BFE47ACB-F743-46AE-B26D-5F3EF5832A76}">
      <text>
        <t xml:space="preserve">[Threaded comment]
Your version of Excel allows you to read this threaded comment; however, any edits to it will get removed if the file is opened in a newer version of Excel. Learn more: https://go.microsoft.com/fwlink/?linkid=870924
Comment:
    https://www.printandcopy.co.za/printing-2/flyer-price-list/ </t>
      </text>
    </comment>
    <comment ref="C19" authorId="15" shapeId="0" xr:uid="{739FA4F7-F4EB-4A71-B831-D40C85099478}">
      <text>
        <t xml:space="preserve">[Threaded comment]
Your version of Excel allows you to read this threaded comment; however, any edits to it will get removed if the file is opened in a newer version of Excel. Learn more: https://go.microsoft.com/fwlink/?linkid=870924
Comment:
    https://za.indeed.com/career/supply-chain-manager/salaries?from=top_sb </t>
      </text>
    </comment>
    <comment ref="C24" authorId="16" shapeId="0" xr:uid="{C983E068-E28A-4A56-85AC-21368DC426E0}">
      <text>
        <t>[Threaded comment]
Your version of Excel allows you to read this threaded comment; however, any edits to it will get removed if the file is opened in a newer version of Excel. Learn more: https://go.microsoft.com/fwlink/?linkid=870924
Comment:
    https://www.ourpower.co.za/jobs/salary/mechanical-engineer</t>
      </text>
    </comment>
    <comment ref="F24" authorId="17" shapeId="0" xr:uid="{96741FA3-964A-4685-A026-5CA785E361DA}">
      <text>
        <t>[Threaded comment]
Your version of Excel allows you to read this threaded comment; however, any edits to it will get removed if the file is opened in a newer version of Excel. Learn more: https://go.microsoft.com/fwlink/?linkid=870924
Comment:
    https://www.solidworks.com/how-to-buy/solidworks-design-plans-pricing</t>
      </text>
    </comment>
    <comment ref="C25" authorId="18" shapeId="0" xr:uid="{B8FC226C-10D9-4F76-943F-BF70D59DF92E}">
      <text>
        <t>[Threaded comment]
Your version of Excel allows you to read this threaded comment; however, any edits to it will get removed if the file is opened in a newer version of Excel. Learn more: https://go.microsoft.com/fwlink/?linkid=870924
Comment:
    Eilinis inžinierius. Tiek pat kiek 3.3 ir 3.1</t>
      </text>
    </comment>
    <comment ref="C26" authorId="19" shapeId="0" xr:uid="{F0E46A63-5BB3-4B46-B416-C78B24D98CA8}">
      <text>
        <t>[Threaded comment]
Your version of Excel allows you to read this threaded comment; however, any edits to it will get removed if the file is opened in a newer version of Excel. Learn more: https://go.microsoft.com/fwlink/?linkid=870924
Comment:
    Eilinis inžinierius. Tiek pat kiek 3.3 ir 3.1</t>
      </text>
    </comment>
    <comment ref="C27" authorId="20" shapeId="0" xr:uid="{54CD7D77-005A-4D27-83FC-FFA0D2182E49}">
      <text>
        <t xml:space="preserve">[Threaded comment]
Your version of Excel allows you to read this threaded comment; however, any edits to it will get removed if the file is opened in a newer version of Excel. Learn more: https://go.microsoft.com/fwlink/?linkid=870924
Comment:
    https://www.ourpower.co.za/jobs/salary/mechanical-engineer </t>
      </text>
    </comment>
    <comment ref="C28" authorId="21" shapeId="0" xr:uid="{147AE204-1B90-4605-B605-FD663F3018ED}">
      <text>
        <t>[Threaded comment]
Your version of Excel allows you to read this threaded comment; however, any edits to it will get removed if the file is opened in a newer version of Excel. Learn more: https://go.microsoft.com/fwlink/?linkid=870924
Comment:
    Eilinis inžinierius. Tiek pat kiek 3.3 ir 3.1</t>
      </text>
    </comment>
    <comment ref="C29" authorId="22" shapeId="0" xr:uid="{5A9172AD-AD63-4E0B-BF32-FBF330D06C16}">
      <text>
        <t>[Threaded comment]
Your version of Excel allows you to read this threaded comment; however, any edits to it will get removed if the file is opened in a newer version of Excel. Learn more: https://go.microsoft.com/fwlink/?linkid=870924
Comment:
    Eilinis inžinierius. Tiek pat kiek 3.3 ir 3.1</t>
      </text>
    </comment>
    <comment ref="C30" authorId="23" shapeId="0" xr:uid="{EE04BA93-6E81-4076-B740-883F1A7CF71C}">
      <text>
        <t xml:space="preserve">[Threaded comment]
Your version of Excel allows you to read this threaded comment; however, any edits to it will get removed if the file is opened in a newer version of Excel. Learn more: https://go.microsoft.com/fwlink/?linkid=870924
Comment:
    https://www.ourpower.co.za/jobs/salary/mechanical-engineer </t>
      </text>
    </comment>
    <comment ref="F30" authorId="24" shapeId="0" xr:uid="{05DEABBB-2FF9-4728-B3EA-AFBD66D88A9C}">
      <text>
        <t>[Threaded comment]
Your version of Excel allows you to read this threaded comment; however, any edits to it will get removed if the file is opened in a newer version of Excel. Learn more: https://go.microsoft.com/fwlink/?linkid=870924
Comment:
    https://3dprintdesk.com/blog/how-to-calculate-3d-print-costs</t>
      </text>
    </comment>
    <comment ref="C31" authorId="25" shapeId="0" xr:uid="{3A507E9F-022F-4F70-BF59-2905739A2189}">
      <text>
        <t xml:space="preserve">[Threaded comment]
Your version of Excel allows you to read this threaded comment; however, any edits to it will get removed if the file is opened in a newer version of Excel. Learn more: https://go.microsoft.com/fwlink/?linkid=870924
Comment:
    https://www.ourpower.co.za/jobs/salary/mechanical-engineer </t>
      </text>
    </comment>
    <comment ref="C33" authorId="26" shapeId="0" xr:uid="{34456EFF-91D1-4878-A316-20655FD18C37}">
      <text>
        <t>[Threaded comment]
Your version of Excel allows you to read this threaded comment; however, any edits to it will get removed if the file is opened in a newer version of Excel. Learn more: https://go.microsoft.com/fwlink/?linkid=870924
Comment:
    Eilinis inžinierius. Tiek pat kiek 3.3 ir 3.1
Reply:
    https://www.ourpower.co.za/jobs/salary/mechanical-engineer</t>
      </text>
    </comment>
    <comment ref="C34" authorId="27" shapeId="0" xr:uid="{69026531-E2BB-4513-8F84-57A8ACDB397A}">
      <text>
        <t>[Threaded comment]
Your version of Excel allows you to read this threaded comment; however, any edits to it will get removed if the file is opened in a newer version of Excel. Learn more: https://go.microsoft.com/fwlink/?linkid=870924
Comment:
    Eilinis inžinierius. Tiek pat kiek 3.3 ir 3.1</t>
      </text>
    </comment>
    <comment ref="C35" authorId="28" shapeId="0" xr:uid="{BA96CA7E-228E-41E1-AAC6-174158008458}">
      <text>
        <t>[Threaded comment]
Your version of Excel allows you to read this threaded comment; however, any edits to it will get removed if the file is opened in a newer version of Excel. Learn more: https://go.microsoft.com/fwlink/?linkid=870924
Comment:
    Eilinis inžinierius. Tiek pat kiek 3.3 ir 3.1</t>
      </text>
    </comment>
    <comment ref="C36" authorId="29" shapeId="0" xr:uid="{56B34907-F494-4A8D-B7CE-79D3A52938ED}">
      <text>
        <t>[Threaded comment]
Your version of Excel allows you to read this threaded comment; however, any edits to it will get removed if the file is opened in a newer version of Excel. Learn more: https://go.microsoft.com/fwlink/?linkid=870924
Comment:
    https://za.indeed.com/career/quality-assurance-engineer/salaries (Žiūrėta 2026 05 15)</t>
      </text>
    </comment>
    <comment ref="C38" authorId="30" shapeId="0" xr:uid="{10555753-0482-4D19-9B41-32C65BAFC498}">
      <text>
        <t xml:space="preserve">[Threaded comment]
Your version of Excel allows you to read this threaded comment; however, any edits to it will get removed if the file is opened in a newer version of Excel. Learn more: https://go.microsoft.com/fwlink/?linkid=870924
Comment:
    https://www.ourpower.co.za/jobs/salary/mechanical-engineer </t>
      </text>
    </comment>
    <comment ref="G38" authorId="31" shapeId="0" xr:uid="{1423A38A-7A18-454A-B89F-8AF63AFA69BC}">
      <text>
        <t xml:space="preserve">[Threaded comment]
Your version of Excel allows you to read this threaded comment; however, any edits to it will get removed if the file is opened in a newer version of Excel. Learn more: https://go.microsoft.com/fwlink/?linkid=870924
Comment:
    https://www.gov.za/news/media-statements/minister-gwede-mantashe-announces-adjustment-fuel-prices-effective-6-may-2026
 </t>
      </text>
    </comment>
    <comment ref="C39" authorId="32" shapeId="0" xr:uid="{80A2D61F-96B8-4417-8AE2-C0B02E532CCE}">
      <text>
        <t xml:space="preserve">[Threaded comment]
Your version of Excel allows you to read this threaded comment; however, any edits to it will get removed if the file is opened in a newer version of Excel. Learn more: https://go.microsoft.com/fwlink/?linkid=870924
Comment:
    https://www.ourpower.co.za/jobs/salary/mechanical-engineer </t>
      </text>
    </comment>
    <comment ref="H39" authorId="33" shapeId="0" xr:uid="{734D1C71-EC6F-4630-87F4-ACBFCC765842}">
      <text>
        <t xml:space="preserve">[Threaded comment]
Your version of Excel allows you to read this threaded comment; however, any edits to it will get removed if the file is opened in a newer version of Excel. Learn more: https://go.microsoft.com/fwlink/?linkid=870924
Comment:
    https://www.printandcopy.co.za/printing-2/flyer-price-list/ </t>
      </text>
    </comment>
    <comment ref="C40" authorId="34" shapeId="0" xr:uid="{36A89C1F-CD4B-461E-A26C-2ACB53D1C501}">
      <text>
        <t xml:space="preserve">[Threaded comment]
Your version of Excel allows you to read this threaded comment; however, any edits to it will get removed if the file is opened in a newer version of Excel. Learn more: https://go.microsoft.com/fwlink/?linkid=870924
Comment:
    https://www.jobted.co.za/salary/project-manager </t>
      </text>
    </comment>
  </commentList>
</comments>
</file>

<file path=xl/sharedStrings.xml><?xml version="1.0" encoding="utf-8"?>
<sst xmlns="http://schemas.openxmlformats.org/spreadsheetml/2006/main" count="102" uniqueCount="88">
  <si>
    <t>Project Budget</t>
  </si>
  <si>
    <t>© 2019 Vertex42 LLC</t>
  </si>
  <si>
    <t>Project Name:</t>
  </si>
  <si>
    <t>Using cheapier materials (to deal with vandalism)</t>
  </si>
  <si>
    <t>[42]</t>
  </si>
  <si>
    <t>Budget (without 10% risk budget)</t>
  </si>
  <si>
    <t>Budget (with 10% risk budget)</t>
  </si>
  <si>
    <t>Start Date:</t>
  </si>
  <si>
    <t>End Date:</t>
  </si>
  <si>
    <t>Labor</t>
  </si>
  <si>
    <t>Materials</t>
  </si>
  <si>
    <t>Fixed Costs</t>
  </si>
  <si>
    <t>Tasks</t>
  </si>
  <si>
    <t>Hrs</t>
  </si>
  <si>
    <t>Rate</t>
  </si>
  <si>
    <t>Units</t>
  </si>
  <si>
    <t>€/Unit</t>
  </si>
  <si>
    <t>Material</t>
  </si>
  <si>
    <t>Travel</t>
  </si>
  <si>
    <t>Other</t>
  </si>
  <si>
    <t>Budget</t>
  </si>
  <si>
    <t>Comments</t>
  </si>
  <si>
    <t>Phase One: Initiation</t>
  </si>
  <si>
    <t>1.1 Project Charter &amp; Scope Analysis</t>
  </si>
  <si>
    <t>1 Project Manager is working on this task</t>
  </si>
  <si>
    <t>1.2 Schedule &amp; Budget Baseline</t>
  </si>
  <si>
    <t>1.3 Stakeholder Communication Plan</t>
  </si>
  <si>
    <t>1 Project Manager is working on this task; Travel: a lot of local trips; Other: printing documents (up to 500 pages at R10.8 rate)</t>
  </si>
  <si>
    <t>1.4 Risk Management Plan</t>
  </si>
  <si>
    <t>Phase Two: Planning &amp; Procurement</t>
  </si>
  <si>
    <t>2.1 Vandalism Report</t>
  </si>
  <si>
    <t>1 person from Operations Department; Travel: travelling to sites. Other: printing documents (up to 500 pages at R10.8 rate).</t>
  </si>
  <si>
    <t>2.2 Material Benchmarking</t>
  </si>
  <si>
    <t>2 Materials Scientists; Material: samples for testing &amp; benchmarking.</t>
  </si>
  <si>
    <t>2.3 Cost Savings Estimation</t>
  </si>
  <si>
    <t>2.4 Compliance &amp; Regulatory Analysis</t>
  </si>
  <si>
    <t>1 Senior Mechanical Engineer; Other: printing documents (up to 500 pages at R10.8 rate).</t>
  </si>
  <si>
    <t xml:space="preserve">2.5 End-to-end procurement and contracting process </t>
  </si>
  <si>
    <t>1 Supply Chain Manager </t>
  </si>
  <si>
    <t>2.5.1 Procurement Preparation</t>
  </si>
  <si>
    <t>2.5.2 Supplier tendering and evaluation</t>
  </si>
  <si>
    <t xml:space="preserve">2.5.3 Decision, Legal procedures &amp; Document signing </t>
  </si>
  <si>
    <t>Phase Three: Execution</t>
  </si>
  <si>
    <t>3.1 Conceptual CAD Models</t>
  </si>
  <si>
    <t>1 Mechanical Engineer; Material: Solid Works yearly subscription.</t>
  </si>
  <si>
    <t>3.1.1. Design the device</t>
  </si>
  <si>
    <t>1 Mechanical Engineer </t>
  </si>
  <si>
    <t>3.1.2. Create the CAD model</t>
  </si>
  <si>
    <t>3.2 Digital Testing</t>
  </si>
  <si>
    <t>3.2.1. Verify structural strength</t>
  </si>
  <si>
    <t>3.2.2. Verify proper fluid flow</t>
  </si>
  <si>
    <t>3.3 Prototype Verification</t>
  </si>
  <si>
    <t>1 Mechanical Engineer; Material: materials for prototype testing, based on industry standard costs.</t>
  </si>
  <si>
    <t>3.4 Final Technical Drawings</t>
  </si>
  <si>
    <t>1 Senior Mechanical Engineer</t>
  </si>
  <si>
    <t>Phase Four: Control</t>
  </si>
  <si>
    <t>4.1 Testing Under Real-Life Conditions</t>
  </si>
  <si>
    <t>2 Mechanical Engineers</t>
  </si>
  <si>
    <t>4.1.1.Controlled enviroment testing</t>
  </si>
  <si>
    <t>4.1.2.In location testing</t>
  </si>
  <si>
    <t>4.2 Monitoring Vandalism of New Product</t>
  </si>
  <si>
    <t>1 Quality Assurance Engineer </t>
  </si>
  <si>
    <t>Phase Five: Closeout</t>
  </si>
  <si>
    <t>5.1 Final Prototype Delivery</t>
  </si>
  <si>
    <t>1 Senior Mechanical Engineer; travel: local trips</t>
  </si>
  <si>
    <t>5.2 Technical Documentation Package</t>
  </si>
  <si>
    <t>1 Senior Mechanical Engineer; Other: printing documents (up to 500 pages at R10.8 rate)</t>
  </si>
  <si>
    <t>5.3 Lessons Learned</t>
  </si>
  <si>
    <t>Template Help</t>
  </si>
  <si>
    <t>Visit the Project Budget Template Page &gt;</t>
  </si>
  <si>
    <t>About This Template</t>
  </si>
  <si>
    <t>This version of the project budget template was designed with a new look and it provides multiple columns for fixed costs. Also, instead of using the Labor, Materials, and Fixed Costs columns to calculate the Budgeted amount, these columns are used to calculate the Actual amount.</t>
  </si>
  <si>
    <t>Entering Budget and Actual Amounts</t>
  </si>
  <si>
    <t>In this worksheet, the Actual amount is calculated from the Labor, Materials, and Fixed Costs columns. This means that you manually enter the Budget value and you use the Labor, Materials, and Fixed Costs columns to enter actual spent amounts.</t>
  </si>
  <si>
    <t>When Adding New Rows</t>
  </si>
  <si>
    <r>
      <t xml:space="preserve">The </t>
    </r>
    <r>
      <rPr>
        <b/>
        <sz val="11"/>
        <color rgb="FF000000"/>
        <rFont val="Arial"/>
        <family val="2"/>
        <scheme val="minor"/>
      </rPr>
      <t>Phase/Category Title rows</t>
    </r>
    <r>
      <rPr>
        <sz val="11"/>
        <color indexed="8"/>
        <rFont val="Arial"/>
        <family val="2"/>
        <scheme val="minor"/>
      </rPr>
      <t xml:space="preserve"> contain SUBTOTAL(9,...) formulas in the Budget and Actual columns that should be verified for accuracy after inserting new rows. Check these formulas to ensure that they reference the correct range of cells.</t>
    </r>
  </si>
  <si>
    <t>Note: The SUBTOTAL(9,…) function is the same as the SUM(…) function except that using SUBTOTAL() ignores cells containing other SUBTOTAL() formulas. This allows the grand-total at the top to sum all budget values while ignoring the subtotals.</t>
  </si>
  <si>
    <t>Cell containing "#####"</t>
  </si>
  <si>
    <t>If you see "#####" in a cell, it means you need to widen the column to see the value, or reduce the font size for that cell.</t>
  </si>
  <si>
    <t>Project Budget Template</t>
  </si>
  <si>
    <t>By Vertex42.com</t>
  </si>
  <si>
    <t>https://www.vertex42.com/ExcelTemplates/project-budget.html</t>
  </si>
  <si>
    <t>This spreadsheet, including all worksheets and associated content is a copyrighted work under the United States and other copyright laws.</t>
  </si>
  <si>
    <t>Do not submit copies or modifications of this template to any website or online template gallery.</t>
  </si>
  <si>
    <t>Please review the following license agreement to learn how you may or may not use this template. Thank you.</t>
  </si>
  <si>
    <t>License Agreement</t>
  </si>
  <si>
    <t>https://www.vertex42.com/licensing/EULA_privateuse.html</t>
  </si>
  <si>
    <t>Do not delete this worksheet.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</si>
</sst>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0\ &quot;€&quot;;[Red]\-#,##0\ &quot;€&quot;"/>
    <numFmt numFmtId="164" formatCode="_(* #,##0.00_);_(* \(#,##0.00\);_(* &quot;-&quot;??_);_(@_)"/>
    <numFmt numFmtId="165" formatCode="#,##0.00\ &quot;€&quot;"/>
    <numFmt numFmtId="166" formatCode="#,##0.0\ &quot;€&quot;;[Red]\-#,##0.0\ &quot;€&quot;"/>
  </numFmts>
  <fonts count="37">
    <font>
      <sz val="11"/>
      <color theme="1"/>
      <name val="Arial"/>
      <family val="2"/>
      <scheme val="minor"/>
    </font>
    <font>
      <sz val="8"/>
      <color theme="1"/>
      <name val="Arial"/>
      <family val="2"/>
      <scheme val="minor"/>
    </font>
    <font>
      <b/>
      <sz val="9"/>
      <color theme="4"/>
      <name val="Arial"/>
      <family val="2"/>
      <scheme val="minor"/>
    </font>
    <font>
      <sz val="9"/>
      <color theme="4"/>
      <name val="Arial"/>
      <family val="2"/>
      <scheme val="minor"/>
    </font>
    <font>
      <b/>
      <sz val="9"/>
      <name val="Arial"/>
      <family val="2"/>
      <scheme val="minor"/>
    </font>
    <font>
      <b/>
      <sz val="10"/>
      <color theme="4" tint="-0.249977111117893"/>
      <name val="Arial"/>
      <family val="2"/>
      <scheme val="minor"/>
    </font>
    <font>
      <b/>
      <sz val="10"/>
      <color theme="1" tint="0.34998626667073579"/>
      <name val="Arial"/>
      <family val="2"/>
      <scheme val="minor"/>
    </font>
    <font>
      <sz val="10"/>
      <name val="Arial"/>
      <family val="2"/>
      <scheme val="minor"/>
    </font>
    <font>
      <sz val="8"/>
      <color theme="1" tint="0.499984740745262"/>
      <name val="Arial"/>
      <family val="2"/>
      <scheme val="minor"/>
    </font>
    <font>
      <sz val="11"/>
      <color theme="1"/>
      <name val="Arial"/>
      <family val="2"/>
      <scheme val="minor"/>
    </font>
    <font>
      <b/>
      <sz val="11"/>
      <color theme="4" tint="-0.249977111117893"/>
      <name val="Arial"/>
      <family val="2"/>
      <scheme val="minor"/>
    </font>
    <font>
      <sz val="10"/>
      <name val="Arial"/>
      <family val="2"/>
    </font>
    <font>
      <sz val="18"/>
      <color theme="4" tint="-0.249977111117893"/>
      <name val="Arial"/>
      <family val="2"/>
    </font>
    <font>
      <sz val="11"/>
      <name val="Trebuchet MS"/>
      <family val="2"/>
    </font>
    <font>
      <sz val="11"/>
      <name val="Arial"/>
      <family val="2"/>
    </font>
    <font>
      <sz val="12"/>
      <name val="Arial"/>
      <family val="2"/>
    </font>
    <font>
      <b/>
      <sz val="12"/>
      <name val="Arial"/>
      <family val="2"/>
    </font>
    <font>
      <b/>
      <sz val="11"/>
      <color theme="4" tint="-0.249977111117893"/>
      <name val="Arial"/>
      <family val="2"/>
    </font>
    <font>
      <u/>
      <sz val="10"/>
      <color indexed="12"/>
      <name val="Arial"/>
      <family val="2"/>
    </font>
    <font>
      <sz val="12"/>
      <color theme="1"/>
      <name val="Arial"/>
      <family val="2"/>
    </font>
    <font>
      <sz val="18"/>
      <color theme="4" tint="-0.249977111117893"/>
      <name val="Arial"/>
      <family val="2"/>
      <scheme val="minor"/>
    </font>
    <font>
      <sz val="11"/>
      <name val="Arial"/>
      <family val="2"/>
      <scheme val="minor"/>
    </font>
    <font>
      <sz val="10"/>
      <color indexed="8"/>
      <name val="Arial"/>
      <family val="2"/>
      <scheme val="minor"/>
    </font>
    <font>
      <b/>
      <sz val="12"/>
      <color theme="4"/>
      <name val="Arial"/>
      <family val="2"/>
      <scheme val="minor"/>
    </font>
    <font>
      <sz val="11"/>
      <color indexed="8"/>
      <name val="Arial"/>
      <family val="2"/>
      <scheme val="minor"/>
    </font>
    <font>
      <b/>
      <sz val="11"/>
      <color rgb="FF000000"/>
      <name val="Arial"/>
      <family val="2"/>
      <scheme val="minor"/>
    </font>
    <font>
      <u/>
      <sz val="11"/>
      <color rgb="FF0000FF"/>
      <name val="Arial"/>
      <family val="2"/>
      <scheme val="minor"/>
    </font>
    <font>
      <sz val="1"/>
      <color theme="0"/>
      <name val="Arial"/>
      <family val="2"/>
      <scheme val="minor"/>
    </font>
    <font>
      <b/>
      <sz val="10"/>
      <color theme="1"/>
      <name val="Arial"/>
      <family val="2"/>
      <scheme val="minor"/>
    </font>
    <font>
      <sz val="10"/>
      <color theme="1"/>
      <name val="Arial"/>
      <family val="2"/>
      <scheme val="minor"/>
    </font>
    <font>
      <b/>
      <sz val="12"/>
      <color theme="1" tint="0.34998626667073579"/>
      <name val="Arial"/>
      <family val="2"/>
      <scheme val="minor"/>
    </font>
    <font>
      <b/>
      <sz val="16"/>
      <color theme="1"/>
      <name val="Arial"/>
      <family val="2"/>
      <charset val="186"/>
      <scheme val="minor"/>
    </font>
    <font>
      <b/>
      <sz val="11"/>
      <color theme="1"/>
      <name val="Arial"/>
      <family val="2"/>
      <scheme val="minor"/>
    </font>
    <font>
      <b/>
      <sz val="10"/>
      <color rgb="FF000000"/>
      <name val="Arial"/>
      <family val="2"/>
      <scheme val="minor"/>
    </font>
    <font>
      <sz val="10"/>
      <color rgb="FF000000"/>
      <name val="Arial"/>
      <scheme val="minor"/>
    </font>
    <font>
      <sz val="10"/>
      <color rgb="FF000000"/>
      <name val="Arial"/>
      <family val="2"/>
      <scheme val="minor"/>
    </font>
    <font>
      <sz val="10"/>
      <color rgb="FF000000"/>
      <name val="Aptos"/>
      <charset val="1"/>
    </font>
  </fonts>
  <fills count="6">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59999389629810485"/>
        <bgColor indexed="64"/>
      </patternFill>
    </fill>
  </fills>
  <borders count="28">
    <border>
      <left/>
      <right/>
      <top/>
      <bottom/>
      <diagonal/>
    </border>
    <border>
      <left/>
      <right/>
      <top style="thin">
        <color theme="0" tint="-0.499984740745262"/>
      </top>
      <bottom style="thin">
        <color theme="0" tint="-0.499984740745262"/>
      </bottom>
      <diagonal/>
    </border>
    <border>
      <left style="medium">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24994659260841701"/>
      </right>
      <top style="thin">
        <color theme="0" tint="-0.499984740745262"/>
      </top>
      <bottom style="thin">
        <color theme="0" tint="-0.499984740745262"/>
      </bottom>
      <diagonal/>
    </border>
    <border>
      <left style="thin">
        <color theme="0" tint="-0.24994659260841701"/>
      </left>
      <right style="medium">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medium">
        <color theme="4"/>
      </left>
      <right/>
      <top style="thin">
        <color theme="0" tint="-0.499984740745262"/>
      </top>
      <bottom style="thin">
        <color theme="0" tint="-0.499984740745262"/>
      </bottom>
      <diagonal/>
    </border>
    <border>
      <left style="thin">
        <color theme="0" tint="-0.24994659260841701"/>
      </left>
      <right/>
      <top style="thin">
        <color theme="0" tint="-0.499984740745262"/>
      </top>
      <bottom style="thin">
        <color theme="0" tint="-0.499984740745262"/>
      </bottom>
      <diagonal/>
    </border>
    <border>
      <left style="thin">
        <color theme="0"/>
      </left>
      <right style="thin">
        <color theme="0"/>
      </right>
      <top style="thin">
        <color theme="0"/>
      </top>
      <bottom style="thin">
        <color theme="0"/>
      </bottom>
      <diagonal/>
    </border>
    <border>
      <left style="medium">
        <color theme="4"/>
      </left>
      <right/>
      <top/>
      <bottom style="thin">
        <color theme="0" tint="-0.499984740745262"/>
      </bottom>
      <diagonal/>
    </border>
    <border>
      <left/>
      <right/>
      <top/>
      <bottom style="thin">
        <color theme="0" tint="-0.499984740745262"/>
      </bottom>
      <diagonal/>
    </border>
    <border>
      <left style="medium">
        <color theme="4"/>
      </left>
      <right/>
      <top/>
      <bottom style="medium">
        <color theme="4"/>
      </bottom>
      <diagonal/>
    </border>
    <border>
      <left style="medium">
        <color theme="4"/>
      </left>
      <right style="thin">
        <color theme="4"/>
      </right>
      <top/>
      <bottom style="medium">
        <color theme="4"/>
      </bottom>
      <diagonal/>
    </border>
    <border>
      <left style="thin">
        <color theme="4"/>
      </left>
      <right style="medium">
        <color theme="4"/>
      </right>
      <top/>
      <bottom style="medium">
        <color theme="4"/>
      </bottom>
      <diagonal/>
    </border>
    <border>
      <left style="thin">
        <color theme="4"/>
      </left>
      <right style="thin">
        <color theme="4"/>
      </right>
      <top/>
      <bottom style="medium">
        <color theme="4"/>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4"/>
      </left>
      <right style="thin">
        <color theme="4"/>
      </right>
      <top style="thin">
        <color theme="4"/>
      </top>
      <bottom style="thin">
        <color theme="4"/>
      </bottom>
      <diagonal/>
    </border>
    <border>
      <left style="medium">
        <color theme="4"/>
      </left>
      <right style="thin">
        <color indexed="64"/>
      </right>
      <top/>
      <bottom style="medium">
        <color theme="4"/>
      </bottom>
      <diagonal/>
    </border>
    <border>
      <left style="medium">
        <color theme="4"/>
      </left>
      <right style="thin">
        <color indexed="64"/>
      </right>
      <top/>
      <bottom style="thin">
        <color theme="0" tint="-0.499984740745262"/>
      </bottom>
      <diagonal/>
    </border>
    <border>
      <left style="medium">
        <color theme="0" tint="-0.499984740745262"/>
      </left>
      <right style="thin">
        <color indexed="64"/>
      </right>
      <top style="thin">
        <color theme="0" tint="-0.499984740745262"/>
      </top>
      <bottom style="thin">
        <color theme="0" tint="-0.499984740745262"/>
      </bottom>
      <diagonal/>
    </border>
    <border>
      <left style="medium">
        <color theme="0" tint="-0.499984740745262"/>
      </left>
      <right style="medium">
        <color theme="0" tint="-0.499984740745262"/>
      </right>
      <top style="thin">
        <color theme="0" tint="-0.499984740745262"/>
      </top>
      <bottom/>
      <diagonal/>
    </border>
    <border>
      <left style="medium">
        <color theme="0" tint="-0.499984740745262"/>
      </left>
      <right style="thin">
        <color indexed="64"/>
      </right>
      <top style="thin">
        <color theme="0" tint="-0.499984740745262"/>
      </top>
      <bottom/>
      <diagonal/>
    </border>
    <border>
      <left style="thin">
        <color rgb="FF000000"/>
      </left>
      <right style="thin">
        <color rgb="FF000000"/>
      </right>
      <top style="thin">
        <color rgb="FF000000"/>
      </top>
      <bottom style="thin">
        <color rgb="FF000000"/>
      </bottom>
      <diagonal/>
    </border>
    <border>
      <left style="medium">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diagonal/>
    </border>
    <border>
      <left style="medium">
        <color theme="4"/>
      </left>
      <right style="thin">
        <color indexed="64"/>
      </right>
      <top/>
      <bottom/>
      <diagonal/>
    </border>
  </borders>
  <cellStyleXfs count="4">
    <xf numFmtId="0" fontId="0" fillId="0" borderId="0"/>
    <xf numFmtId="0" fontId="26" fillId="0" borderId="0" applyNumberFormat="0" applyFill="0" applyBorder="0" applyAlignment="0" applyProtection="0"/>
    <xf numFmtId="0" fontId="11" fillId="0" borderId="0"/>
    <xf numFmtId="0" fontId="18" fillId="0" borderId="0" applyNumberFormat="0" applyFill="0" applyBorder="0" applyAlignment="0" applyProtection="0">
      <alignment vertical="top"/>
      <protection locked="0"/>
    </xf>
  </cellStyleXfs>
  <cellXfs count="100">
    <xf numFmtId="0" fontId="0" fillId="0" borderId="0" xfId="0"/>
    <xf numFmtId="0" fontId="1" fillId="0" borderId="0" xfId="0" applyFont="1" applyAlignment="1">
      <alignment vertical="center"/>
    </xf>
    <xf numFmtId="0" fontId="2" fillId="0" borderId="0" xfId="0" applyFont="1" applyAlignment="1">
      <alignment horizontal="center" vertical="center"/>
    </xf>
    <xf numFmtId="0" fontId="4" fillId="0" borderId="0" xfId="0" applyFont="1" applyAlignment="1">
      <alignment horizontal="right" vertical="center"/>
    </xf>
    <xf numFmtId="0" fontId="8" fillId="0" borderId="0" xfId="0" applyFont="1" applyAlignment="1">
      <alignment vertical="top"/>
    </xf>
    <xf numFmtId="0" fontId="12" fillId="3" borderId="0" xfId="2" applyFont="1" applyFill="1" applyAlignment="1">
      <alignment horizontal="left" vertical="center"/>
    </xf>
    <xf numFmtId="0" fontId="11" fillId="0" borderId="0" xfId="2"/>
    <xf numFmtId="0" fontId="11" fillId="4" borderId="0" xfId="2" applyFill="1"/>
    <xf numFmtId="0" fontId="14" fillId="0" borderId="8" xfId="2" applyFont="1" applyBorder="1"/>
    <xf numFmtId="0" fontId="15" fillId="0" borderId="8" xfId="2" applyFont="1" applyBorder="1" applyAlignment="1">
      <alignment horizontal="left" wrapText="1"/>
    </xf>
    <xf numFmtId="0" fontId="17" fillId="4" borderId="0" xfId="2" applyFont="1" applyFill="1"/>
    <xf numFmtId="0" fontId="11" fillId="4" borderId="0" xfId="2" applyFill="1" applyAlignment="1">
      <alignment vertical="top"/>
    </xf>
    <xf numFmtId="0" fontId="14" fillId="4" borderId="0" xfId="2" applyFont="1" applyFill="1" applyAlignment="1">
      <alignment horizontal="right" vertical="top"/>
    </xf>
    <xf numFmtId="0" fontId="15" fillId="0" borderId="8" xfId="2" applyFont="1" applyBorder="1" applyAlignment="1">
      <alignment horizontal="left"/>
    </xf>
    <xf numFmtId="0" fontId="13" fillId="0" borderId="0" xfId="2" applyFont="1" applyAlignment="1">
      <alignment horizontal="left" vertical="top"/>
    </xf>
    <xf numFmtId="0" fontId="26" fillId="0" borderId="8" xfId="1" applyBorder="1" applyAlignment="1">
      <alignment horizontal="left"/>
    </xf>
    <xf numFmtId="0" fontId="16" fillId="0" borderId="8" xfId="2" applyFont="1" applyBorder="1" applyAlignment="1">
      <alignment horizontal="left"/>
    </xf>
    <xf numFmtId="0" fontId="19" fillId="0" borderId="8" xfId="2" applyFont="1" applyBorder="1" applyAlignment="1">
      <alignment horizontal="left"/>
    </xf>
    <xf numFmtId="0" fontId="20" fillId="3" borderId="0" xfId="2" applyFont="1" applyFill="1" applyAlignment="1">
      <alignment horizontal="left" vertical="center"/>
    </xf>
    <xf numFmtId="0" fontId="9" fillId="0" borderId="0" xfId="0" applyFont="1"/>
    <xf numFmtId="0" fontId="7" fillId="0" borderId="0" xfId="2" applyFont="1"/>
    <xf numFmtId="0" fontId="7" fillId="4" borderId="0" xfId="2" applyFont="1" applyFill="1"/>
    <xf numFmtId="0" fontId="10" fillId="4" borderId="0" xfId="2" applyFont="1" applyFill="1"/>
    <xf numFmtId="0" fontId="7" fillId="4" borderId="0" xfId="2" applyFont="1" applyFill="1" applyAlignment="1">
      <alignment vertical="top"/>
    </xf>
    <xf numFmtId="0" fontId="21" fillId="4" borderId="0" xfId="2" applyFont="1" applyFill="1" applyAlignment="1">
      <alignment horizontal="right" vertical="top"/>
    </xf>
    <xf numFmtId="0" fontId="21" fillId="0" borderId="8" xfId="2" applyFont="1" applyBorder="1" applyAlignment="1">
      <alignment vertical="center"/>
    </xf>
    <xf numFmtId="0" fontId="9" fillId="0" borderId="0" xfId="0" applyFont="1" applyAlignment="1">
      <alignment vertical="center"/>
    </xf>
    <xf numFmtId="49" fontId="22" fillId="0" borderId="0" xfId="0" applyNumberFormat="1" applyFont="1" applyAlignment="1">
      <alignment horizontal="left" vertical="center" wrapText="1" readingOrder="1"/>
    </xf>
    <xf numFmtId="49" fontId="7" fillId="0" borderId="0" xfId="0" applyNumberFormat="1" applyFont="1" applyAlignment="1">
      <alignment vertical="center" wrapText="1" readingOrder="1"/>
    </xf>
    <xf numFmtId="49" fontId="23" fillId="0" borderId="0" xfId="0" applyNumberFormat="1" applyFont="1" applyAlignment="1">
      <alignment horizontal="left" vertical="center" wrapText="1" readingOrder="1"/>
    </xf>
    <xf numFmtId="0" fontId="26" fillId="0" borderId="0" xfId="1" applyAlignment="1">
      <alignment horizontal="left" vertical="top"/>
    </xf>
    <xf numFmtId="49" fontId="21" fillId="0" borderId="0" xfId="0" applyNumberFormat="1" applyFont="1" applyAlignment="1">
      <alignment vertical="center" wrapText="1" readingOrder="1"/>
    </xf>
    <xf numFmtId="49" fontId="24" fillId="0" borderId="0" xfId="0" applyNumberFormat="1" applyFont="1" applyAlignment="1">
      <alignment horizontal="left" vertical="center" wrapText="1" indent="1" readingOrder="1"/>
    </xf>
    <xf numFmtId="49" fontId="24" fillId="0" borderId="0" xfId="0" applyNumberFormat="1" applyFont="1" applyAlignment="1">
      <alignment horizontal="left" vertical="top" wrapText="1" indent="1" readingOrder="1"/>
    </xf>
    <xf numFmtId="0" fontId="5" fillId="2" borderId="1" xfId="0" applyFont="1" applyFill="1" applyBorder="1" applyAlignment="1">
      <alignment horizontal="center" vertical="center"/>
    </xf>
    <xf numFmtId="0" fontId="5" fillId="2" borderId="10" xfId="0" applyFont="1" applyFill="1" applyBorder="1" applyAlignment="1">
      <alignment vertical="center"/>
    </xf>
    <xf numFmtId="164" fontId="5" fillId="2" borderId="10" xfId="0" applyNumberFormat="1" applyFont="1" applyFill="1" applyBorder="1" applyAlignment="1">
      <alignment vertical="center"/>
    </xf>
    <xf numFmtId="0" fontId="2"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27" fillId="0" borderId="0" xfId="0" applyFont="1" applyAlignment="1">
      <alignment horizontal="center" vertical="center"/>
    </xf>
    <xf numFmtId="0" fontId="29" fillId="0" borderId="3" xfId="0" applyFont="1" applyBorder="1" applyAlignment="1">
      <alignment horizontal="center" vertical="center"/>
    </xf>
    <xf numFmtId="0" fontId="30" fillId="0" borderId="0" xfId="0" applyFont="1" applyAlignment="1">
      <alignment vertical="center"/>
    </xf>
    <xf numFmtId="0" fontId="28" fillId="0" borderId="2" xfId="0" applyFont="1" applyBorder="1" applyAlignment="1">
      <alignment horizontal="left" vertical="center" wrapText="1" indent="1"/>
    </xf>
    <xf numFmtId="0" fontId="5" fillId="2" borderId="9" xfId="0" applyFont="1" applyFill="1" applyBorder="1" applyAlignment="1">
      <alignment horizontal="left" vertical="center"/>
    </xf>
    <xf numFmtId="0" fontId="5" fillId="2" borderId="6" xfId="0" applyFont="1" applyFill="1" applyBorder="1" applyAlignment="1">
      <alignment horizontal="left" vertical="center"/>
    </xf>
    <xf numFmtId="165" fontId="29" fillId="0" borderId="4" xfId="0" applyNumberFormat="1" applyFont="1" applyBorder="1" applyAlignment="1">
      <alignment vertical="center"/>
    </xf>
    <xf numFmtId="165" fontId="5" fillId="2" borderId="1" xfId="0" applyNumberFormat="1" applyFont="1" applyFill="1" applyBorder="1" applyAlignment="1">
      <alignment vertical="center"/>
    </xf>
    <xf numFmtId="165" fontId="29" fillId="0" borderId="3" xfId="0" applyNumberFormat="1" applyFont="1" applyBorder="1" applyAlignment="1">
      <alignment vertical="center"/>
    </xf>
    <xf numFmtId="165" fontId="29" fillId="0" borderId="5" xfId="0" applyNumberFormat="1" applyFont="1" applyBorder="1" applyAlignment="1">
      <alignment vertical="center"/>
    </xf>
    <xf numFmtId="165" fontId="29" fillId="0" borderId="7" xfId="0" applyNumberFormat="1" applyFont="1" applyBorder="1" applyAlignment="1">
      <alignment vertical="center"/>
    </xf>
    <xf numFmtId="0" fontId="2" fillId="0" borderId="19" xfId="0" applyFont="1" applyBorder="1" applyAlignment="1">
      <alignment horizontal="center" vertical="center"/>
    </xf>
    <xf numFmtId="165" fontId="5" fillId="2" borderId="20" xfId="0" applyNumberFormat="1" applyFont="1" applyFill="1" applyBorder="1" applyAlignment="1">
      <alignment vertical="center"/>
    </xf>
    <xf numFmtId="165" fontId="29" fillId="0" borderId="21" xfId="0" applyNumberFormat="1" applyFont="1" applyBorder="1" applyAlignment="1">
      <alignment vertical="center"/>
    </xf>
    <xf numFmtId="0" fontId="6" fillId="0" borderId="0" xfId="0" applyFont="1" applyAlignment="1">
      <alignment horizontal="right" vertical="center"/>
    </xf>
    <xf numFmtId="14" fontId="6" fillId="0" borderId="0" xfId="0" applyNumberFormat="1" applyFont="1" applyAlignment="1">
      <alignment horizontal="left" vertical="center"/>
    </xf>
    <xf numFmtId="0" fontId="31" fillId="0" borderId="0" xfId="0" applyFont="1" applyAlignment="1">
      <alignment vertical="center"/>
    </xf>
    <xf numFmtId="0" fontId="32" fillId="0" borderId="0" xfId="0" applyFont="1" applyAlignment="1">
      <alignment horizontal="center" vertical="center" wrapText="1"/>
    </xf>
    <xf numFmtId="0" fontId="0" fillId="0" borderId="0" xfId="0" applyAlignment="1">
      <alignment horizontal="right" vertical="center" wrapText="1"/>
    </xf>
    <xf numFmtId="0" fontId="32" fillId="0" borderId="0" xfId="0" applyFont="1" applyAlignment="1">
      <alignment horizontal="right" vertical="center" wrapText="1"/>
    </xf>
    <xf numFmtId="0" fontId="0" fillId="0" borderId="0" xfId="0" applyAlignment="1">
      <alignment vertical="center" wrapText="1"/>
    </xf>
    <xf numFmtId="0" fontId="32" fillId="0" borderId="0" xfId="0" applyFont="1" applyAlignment="1">
      <alignment vertical="center" wrapText="1"/>
    </xf>
    <xf numFmtId="6" fontId="0" fillId="0" borderId="0" xfId="0" applyNumberFormat="1" applyAlignment="1">
      <alignment horizontal="right" vertical="center" wrapText="1"/>
    </xf>
    <xf numFmtId="6" fontId="32" fillId="0" borderId="0" xfId="0" applyNumberFormat="1" applyFont="1" applyAlignment="1">
      <alignment horizontal="right" vertical="center" wrapText="1"/>
    </xf>
    <xf numFmtId="166" fontId="0" fillId="0" borderId="0" xfId="0" applyNumberFormat="1" applyAlignment="1">
      <alignment horizontal="right" vertical="center" wrapText="1"/>
    </xf>
    <xf numFmtId="166" fontId="0" fillId="0" borderId="0" xfId="0" applyNumberFormat="1"/>
    <xf numFmtId="165" fontId="29" fillId="0" borderId="23" xfId="0" applyNumberFormat="1" applyFont="1" applyBorder="1" applyAlignment="1">
      <alignment vertical="center"/>
    </xf>
    <xf numFmtId="0" fontId="5" fillId="2" borderId="10" xfId="0" applyFont="1" applyFill="1" applyBorder="1" applyAlignment="1">
      <alignment horizontal="center" vertical="center"/>
    </xf>
    <xf numFmtId="165" fontId="5" fillId="2" borderId="10" xfId="0" applyNumberFormat="1" applyFont="1" applyFill="1" applyBorder="1" applyAlignment="1">
      <alignment vertical="center"/>
    </xf>
    <xf numFmtId="0" fontId="33" fillId="0" borderId="22" xfId="0" applyFont="1" applyBorder="1" applyAlignment="1">
      <alignment horizontal="left" vertical="center" wrapText="1" indent="1"/>
    </xf>
    <xf numFmtId="0" fontId="34" fillId="0" borderId="24" xfId="0" applyFont="1" applyBorder="1" applyAlignment="1">
      <alignment horizontal="left" vertical="center" wrapText="1" indent="1"/>
    </xf>
    <xf numFmtId="0" fontId="35" fillId="0" borderId="24" xfId="0" applyFont="1" applyBorder="1" applyAlignment="1">
      <alignment horizontal="left" vertical="center" wrapText="1" indent="1"/>
    </xf>
    <xf numFmtId="0" fontId="33" fillId="0" borderId="2" xfId="0" applyFont="1" applyBorder="1" applyAlignment="1">
      <alignment horizontal="left" vertical="center" wrapText="1" indent="1"/>
    </xf>
    <xf numFmtId="0" fontId="29" fillId="0" borderId="2" xfId="0" applyFont="1" applyBorder="1" applyAlignment="1">
      <alignment horizontal="left" vertical="center" wrapText="1" indent="1"/>
    </xf>
    <xf numFmtId="0" fontId="35" fillId="0" borderId="2" xfId="0" applyFont="1" applyBorder="1" applyAlignment="1">
      <alignment horizontal="left" vertical="center" wrapText="1" indent="1"/>
    </xf>
    <xf numFmtId="0" fontId="29" fillId="0" borderId="3" xfId="0" applyFont="1" applyBorder="1" applyAlignment="1">
      <alignment horizontal="center" vertical="center" wrapText="1"/>
    </xf>
    <xf numFmtId="0" fontId="0" fillId="0" borderId="0" xfId="0" applyAlignment="1">
      <alignment wrapText="1"/>
    </xf>
    <xf numFmtId="165" fontId="29" fillId="0" borderId="21" xfId="0" applyNumberFormat="1" applyFont="1" applyBorder="1" applyAlignment="1">
      <alignment vertical="center" wrapText="1"/>
    </xf>
    <xf numFmtId="165" fontId="5" fillId="5" borderId="18" xfId="0" applyNumberFormat="1" applyFont="1" applyFill="1" applyBorder="1" applyAlignment="1">
      <alignment vertical="center" wrapText="1"/>
    </xf>
    <xf numFmtId="165" fontId="29" fillId="0" borderId="24" xfId="0" applyNumberFormat="1" applyFont="1" applyBorder="1" applyAlignment="1">
      <alignment vertical="center" wrapText="1"/>
    </xf>
    <xf numFmtId="165" fontId="29" fillId="0" borderId="25" xfId="0" applyNumberFormat="1" applyFont="1" applyBorder="1" applyAlignment="1">
      <alignment vertical="center"/>
    </xf>
    <xf numFmtId="165" fontId="29" fillId="0" borderId="26" xfId="0" applyNumberFormat="1" applyFont="1" applyBorder="1" applyAlignment="1">
      <alignment vertical="center"/>
    </xf>
    <xf numFmtId="165" fontId="5" fillId="2" borderId="27" xfId="0" applyNumberFormat="1" applyFont="1" applyFill="1" applyBorder="1" applyAlignment="1">
      <alignment vertical="center"/>
    </xf>
    <xf numFmtId="0" fontId="36" fillId="0" borderId="24" xfId="0" applyFont="1" applyBorder="1" applyAlignment="1">
      <alignment wrapText="1"/>
    </xf>
    <xf numFmtId="0" fontId="36" fillId="0" borderId="24" xfId="0" applyFont="1" applyBorder="1"/>
    <xf numFmtId="0" fontId="36" fillId="0" borderId="0" xfId="0" applyFont="1" applyAlignment="1">
      <alignment wrapText="1"/>
    </xf>
    <xf numFmtId="165" fontId="29" fillId="0" borderId="7" xfId="0" applyNumberFormat="1" applyFont="1" applyBorder="1" applyAlignment="1">
      <alignment vertical="center" wrapText="1"/>
    </xf>
    <xf numFmtId="0" fontId="26" fillId="0" borderId="0" xfId="1"/>
    <xf numFmtId="0" fontId="36" fillId="4" borderId="24" xfId="0" applyFont="1" applyFill="1" applyBorder="1" applyAlignment="1">
      <alignment wrapText="1"/>
    </xf>
    <xf numFmtId="0" fontId="36" fillId="4" borderId="24" xfId="0" applyFont="1" applyFill="1" applyBorder="1"/>
    <xf numFmtId="165" fontId="29" fillId="4" borderId="4" xfId="0" applyNumberFormat="1" applyFont="1" applyFill="1" applyBorder="1" applyAlignment="1">
      <alignment vertical="center"/>
    </xf>
    <xf numFmtId="0" fontId="2" fillId="0" borderId="0" xfId="0" applyFont="1" applyAlignment="1">
      <alignment horizontal="center"/>
    </xf>
    <xf numFmtId="0" fontId="6" fillId="0" borderId="15" xfId="0" applyFont="1" applyBorder="1" applyAlignment="1">
      <alignment horizontal="left" vertical="center"/>
    </xf>
    <xf numFmtId="0" fontId="6" fillId="0" borderId="16" xfId="0" applyFont="1" applyBorder="1" applyAlignment="1">
      <alignment horizontal="left" vertical="center"/>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14" fontId="6" fillId="0" borderId="16" xfId="0" applyNumberFormat="1" applyFont="1" applyBorder="1" applyAlignment="1">
      <alignment horizontal="center" vertical="center"/>
    </xf>
    <xf numFmtId="14" fontId="6" fillId="0" borderId="17" xfId="0" applyNumberFormat="1" applyFont="1" applyBorder="1" applyAlignment="1">
      <alignment horizontal="center" vertical="center"/>
    </xf>
    <xf numFmtId="0" fontId="5" fillId="5" borderId="18" xfId="0" applyFont="1" applyFill="1" applyBorder="1" applyAlignment="1">
      <alignment horizontal="center" vertical="center" wrapText="1"/>
    </xf>
  </cellXfs>
  <cellStyles count="4">
    <cellStyle name="Hyperlink" xfId="1" builtinId="8" customBuiltin="1"/>
    <cellStyle name="Hyperlink 2" xfId="3" xr:uid="{0DEFCAEE-D97D-4E65-9055-818DC59CAD8A}"/>
    <cellStyle name="Normal" xfId="0" builtinId="0"/>
    <cellStyle name="Normal 2" xfId="2" xr:uid="{1F6784E1-2357-4991-B909-B8DC938E5B72}"/>
  </cellStyles>
  <dxfs count="1">
    <dxf>
      <fill>
        <patternFill>
          <bgColor theme="0" tint="-4.9989318521683403E-2"/>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utm_source=project-budget&amp;utm_campaign=templates&amp;utm_content=title"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4433887</xdr:colOff>
      <xdr:row>0</xdr:row>
      <xdr:rowOff>85722</xdr:rowOff>
    </xdr:from>
    <xdr:to>
      <xdr:col>2</xdr:col>
      <xdr:colOff>263352</xdr:colOff>
      <xdr:row>0</xdr:row>
      <xdr:rowOff>423860</xdr:rowOff>
    </xdr:to>
    <xdr:pic>
      <xdr:nvPicPr>
        <xdr:cNvPr id="3" name="Picture 2">
          <a:hlinkClick xmlns:r="http://schemas.openxmlformats.org/officeDocument/2006/relationships" r:id="rId1"/>
          <a:extLst>
            <a:ext uri="{FF2B5EF4-FFF2-40B4-BE49-F238E27FC236}">
              <a16:creationId xmlns:a16="http://schemas.microsoft.com/office/drawing/2014/main" id="{5B83FCCD-46C9-43D8-9FF0-6E4A9A55B6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781550" y="85722"/>
          <a:ext cx="1511127" cy="3381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4433887</xdr:colOff>
      <xdr:row>0</xdr:row>
      <xdr:rowOff>85722</xdr:rowOff>
    </xdr:from>
    <xdr:to>
      <xdr:col>2</xdr:col>
      <xdr:colOff>263352</xdr:colOff>
      <xdr:row>0</xdr:row>
      <xdr:rowOff>423860</xdr:rowOff>
    </xdr:to>
    <xdr:pic>
      <xdr:nvPicPr>
        <xdr:cNvPr id="3" name="Picture 2">
          <a:hlinkClick xmlns:r="http://schemas.openxmlformats.org/officeDocument/2006/relationships" r:id="rId1"/>
          <a:extLst>
            <a:ext uri="{FF2B5EF4-FFF2-40B4-BE49-F238E27FC236}">
              <a16:creationId xmlns:a16="http://schemas.microsoft.com/office/drawing/2014/main" id="{CA5D62D1-FB54-4DA6-88B7-7778F1E8D3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781550" y="85722"/>
          <a:ext cx="1511127" cy="33813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antė Vėželytė" id="{D799A273-F4E4-4742-BC86-D875F2FDDB32}" userId="S::manvez@ktu.lt::d602ddfb-9e56-47eb-bff5-4f5b15e10eb1" providerId="AD"/>
  <person displayName="Rapolas Daugelis" id="{9100441D-0E39-4FDE-9A34-7E3E9233E91B}" userId="S::rapdau@ktu.lt::0ffc357a-adbe-4cb6-9960-d188ba10cea7" providerId="AD"/>
  <person displayName="Greta Stundžytė" id="{E4920A65-4105-4C95-A94E-2FF15938AC04}" userId="S::grestu1@ktu.lt::3618e2a3-8998-4273-99e0-c84f6d52fd49" providerId="AD"/>
</personList>
</file>

<file path=xl/theme/theme1.xml><?xml version="1.0" encoding="utf-8"?>
<a:theme xmlns:a="http://schemas.openxmlformats.org/drawingml/2006/main" name="Vertex42 2019">
  <a:themeElements>
    <a:clrScheme name="Vertex42 - CalendarBoldBlue">
      <a:dk1>
        <a:sysClr val="windowText" lastClr="000000"/>
      </a:dk1>
      <a:lt1>
        <a:sysClr val="window" lastClr="FFFFFF"/>
      </a:lt1>
      <a:dk2>
        <a:srgbClr val="3A5D9C"/>
      </a:dk2>
      <a:lt2>
        <a:srgbClr val="EEECE2"/>
      </a:lt2>
      <a:accent1>
        <a:srgbClr val="3969AD"/>
      </a:accent1>
      <a:accent2>
        <a:srgbClr val="C04E4E"/>
      </a:accent2>
      <a:accent3>
        <a:srgbClr val="E68422"/>
      </a:accent3>
      <a:accent4>
        <a:srgbClr val="846648"/>
      </a:accent4>
      <a:accent5>
        <a:srgbClr val="26AA26"/>
      </a:accent5>
      <a:accent6>
        <a:srgbClr val="7860B4"/>
      </a:accent6>
      <a:hlink>
        <a:srgbClr val="4C92AE"/>
      </a:hlink>
      <a:folHlink>
        <a:srgbClr val="969696"/>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0" dT="2026-05-21T10:57:12.53" personId="{D799A273-F4E4-4742-BC86-D875F2FDDB32}" id="{86CDD5E9-7AB3-4175-AB9E-F76FE622A563}">
    <text xml:space="preserve">Yearly salary: https://www.jobted.co.za/salary/project-manager
Hourly salary converter: https://www.hiresava.com/south-african-salary-calculator </text>
    <extLst>
      <x:ext xmlns:xltc2="http://schemas.microsoft.com/office/spreadsheetml/2020/threadedcomments2" uri="{F7C98A9C-CBB3-438F-8F68-D28B6AF4A901}">
        <xltc2:checksum>3077206583</xltc2:checksum>
        <xltc2:hyperlink startIndex="15" length="47" url="https://www.jobted.co.za/salary/project-manager"/>
        <xltc2:hyperlink startIndex="88" length="56" url="https://www.hiresava.com/south-african-salary-calculator"/>
      </x:ext>
    </extLst>
  </threadedComment>
  <threadedComment ref="C11" dT="2026-05-21T10:57:40.63" personId="{D799A273-F4E4-4742-BC86-D875F2FDDB32}" id="{E273DCB1-7B11-4A04-B979-F7BE989879C5}">
    <text xml:space="preserve">Yearly salary: https://www.jobted.co.za/salary/project-manager
Hourly salary converter: https://www.hiresava.com/south-african-salary-calculator </text>
    <extLst>
      <x:ext xmlns:xltc2="http://schemas.microsoft.com/office/spreadsheetml/2020/threadedcomments2" uri="{F7C98A9C-CBB3-438F-8F68-D28B6AF4A901}">
        <xltc2:checksum>3077206583</xltc2:checksum>
        <xltc2:hyperlink startIndex="15" length="47" url="https://www.jobted.co.za/salary/project-manager"/>
        <xltc2:hyperlink startIndex="88" length="56" url="https://www.hiresava.com/south-african-salary-calculator"/>
      </x:ext>
    </extLst>
  </threadedComment>
  <threadedComment ref="C12" dT="2026-05-21T10:57:46.08" personId="{D799A273-F4E4-4742-BC86-D875F2FDDB32}" id="{5F5432EC-0C2F-4CF2-B863-B96A84C3D47D}">
    <text xml:space="preserve">Yearly salary: https://www.jobted.co.za/salary/project-manager
Hourly salary converter: https://www.hiresava.com/south-african-salary-calculator </text>
    <extLst>
      <x:ext xmlns:xltc2="http://schemas.microsoft.com/office/spreadsheetml/2020/threadedcomments2" uri="{F7C98A9C-CBB3-438F-8F68-D28B6AF4A901}">
        <xltc2:checksum>3077206583</xltc2:checksum>
        <xltc2:hyperlink startIndex="15" length="47" url="https://www.jobted.co.za/salary/project-manager"/>
        <xltc2:hyperlink startIndex="88" length="56" url="https://www.hiresava.com/south-african-salary-calculator"/>
      </x:ext>
    </extLst>
  </threadedComment>
  <threadedComment ref="G12" dT="2026-05-21T11:15:57.16" personId="{E4920A65-4105-4C95-A94E-2FF15938AC04}" id="{10D744A6-D8F3-4CAC-A972-31DF574A0A81}">
    <text>https://www.gov.za/news/media-statements/minister-gwede-mantashe-announces-adjustment-fuel-prices-effective-6-may-2026</text>
  </threadedComment>
  <threadedComment ref="G12" dT="2026-05-21T11:26:29.10" personId="{D799A273-F4E4-4742-BC86-D875F2FDDB32}" id="{032301BE-12CE-4AFA-BD31-E78EAABA69FA}" parentId="{10D744A6-D8F3-4CAC-A972-31DF574A0A81}">
    <text xml:space="preserve">https://sandtoncity.com/parking/ https://www.fcmtravel.com/en-za/resources/insights/business-travel-spend-south-africa-how-does-it-stack-2024 </text>
    <extLst>
      <x:ext xmlns:xltc2="http://schemas.microsoft.com/office/spreadsheetml/2020/threadedcomments2" uri="{F7C98A9C-CBB3-438F-8F68-D28B6AF4A901}">
        <xltc2:checksum>3732356856</xltc2:checksum>
        <xltc2:hyperlink startIndex="0" length="32" url="https://sandtoncity.com/parking/"/>
        <xltc2:hyperlink startIndex="33" length="108" url="https://www.fcmtravel.com/en-za/resources/insights/business-travel-spend-south-africa-how-does-it-stack-2024"/>
      </x:ext>
    </extLst>
  </threadedComment>
  <threadedComment ref="C13" dT="2026-05-21T10:57:51.61" personId="{D799A273-F4E4-4742-BC86-D875F2FDDB32}" id="{7C03E9F7-FC47-4939-A998-EF3C0312B8BB}">
    <text xml:space="preserve">Yearly salary: https://www.jobted.co.za/salary/project-manager
Hourly salary converter: https://www.hiresava.com/south-african-salary-calculator </text>
    <extLst>
      <x:ext xmlns:xltc2="http://schemas.microsoft.com/office/spreadsheetml/2020/threadedcomments2" uri="{F7C98A9C-CBB3-438F-8F68-D28B6AF4A901}">
        <xltc2:checksum>3077206583</xltc2:checksum>
        <xltc2:hyperlink startIndex="15" length="47" url="https://www.jobted.co.za/salary/project-manager"/>
        <xltc2:hyperlink startIndex="88" length="56" url="https://www.hiresava.com/south-african-salary-calculator"/>
      </x:ext>
    </extLst>
  </threadedComment>
  <threadedComment ref="C15" dT="2026-05-21T11:33:36.56" personId="{E4920A65-4105-4C95-A94E-2FF15938AC04}" id="{BFEE14B3-C1D1-40DA-AF8B-5C194B8BFBB5}">
    <text xml:space="preserve">https://za.indeed.com/career/operation-specialist/salaries </text>
    <extLst>
      <x:ext xmlns:xltc2="http://schemas.microsoft.com/office/spreadsheetml/2020/threadedcomments2" uri="{F7C98A9C-CBB3-438F-8F68-D28B6AF4A901}">
        <xltc2:checksum>3641360116</xltc2:checksum>
        <xltc2:hyperlink startIndex="0" length="58" url="https://za.indeed.com/career/operation-specialist/salaries"/>
      </x:ext>
    </extLst>
  </threadedComment>
  <threadedComment ref="G15" dT="2026-05-21T12:32:47.98" personId="{E4920A65-4105-4C95-A94E-2FF15938AC04}" id="{DCFAE901-42B9-4F1C-8AB9-58534B24C739}">
    <text xml:space="preserve">https://www.gov.za/news/media-statements/minister-gwede-mantashe-announces-adjustment-fuel-prices-effective-6-may-2026
 </text>
    <extLst>
      <x:ext xmlns:xltc2="http://schemas.microsoft.com/office/spreadsheetml/2020/threadedcomments2" uri="{F7C98A9C-CBB3-438F-8F68-D28B6AF4A901}">
        <xltc2:checksum>1832348449</xltc2:checksum>
        <xltc2:hyperlink startIndex="0" length="118" url="https://www.gov.za/news/media-statements/minister-gwede-mantashe-announces-adjustment-fuel-prices-effective-6-may-2026"/>
      </x:ext>
    </extLst>
  </threadedComment>
  <threadedComment ref="H15" dT="2026-05-21T12:16:19.72" personId="{E4920A65-4105-4C95-A94E-2FF15938AC04}" id="{EC8735D8-88A7-4283-A6AC-7351719A846A}">
    <text xml:space="preserve">https://www.printandcopy.co.za/printing-2/flyer-price-list/ </text>
    <extLst>
      <x:ext xmlns:xltc2="http://schemas.microsoft.com/office/spreadsheetml/2020/threadedcomments2" uri="{F7C98A9C-CBB3-438F-8F68-D28B6AF4A901}">
        <xltc2:checksum>2560616153</xltc2:checksum>
        <xltc2:hyperlink startIndex="0" length="59" url="https://www.printandcopy.co.za/printing-2/flyer-price-list/"/>
      </x:ext>
    </extLst>
  </threadedComment>
  <threadedComment ref="C16" dT="2026-05-21T11:31:59.73" personId="{E4920A65-4105-4C95-A94E-2FF15938AC04}" id="{FE9E4967-CBA0-44DF-8E3D-8F4A14EA7CFF}">
    <text xml:space="preserve">https://worldsalaries.com/average-materials-scientist-salary-in-south-africa/ </text>
    <extLst>
      <x:ext xmlns:xltc2="http://schemas.microsoft.com/office/spreadsheetml/2020/threadedcomments2" uri="{F7C98A9C-CBB3-438F-8F68-D28B6AF4A901}">
        <xltc2:checksum>3334991837</xltc2:checksum>
        <xltc2:hyperlink startIndex="0" length="77" url="https://worldsalaries.com/average-materials-scientist-salary-in-south-africa/"/>
      </x:ext>
    </extLst>
  </threadedComment>
  <threadedComment ref="F16" dT="2026-05-21T13:09:29.33" personId="{E4920A65-4105-4C95-A94E-2FF15938AC04}" id="{98D1D0B3-AB27-4FE7-B3EC-53D3AF3015ED}">
    <text xml:space="preserve">https://www.tradewheel.com/p/hdpe-resin-virginrecycled-hdpe-granules-hdpe-181799/ </text>
    <extLst>
      <x:ext xmlns:xltc2="http://schemas.microsoft.com/office/spreadsheetml/2020/threadedcomments2" uri="{F7C98A9C-CBB3-438F-8F68-D28B6AF4A901}">
        <xltc2:checksum>1927306733</xltc2:checksum>
        <xltc2:hyperlink startIndex="0" length="81" url="https://www.tradewheel.com/p/hdpe-resin-virginrecycled-hdpe-granules-hdpe-181799/"/>
      </x:ext>
    </extLst>
  </threadedComment>
  <threadedComment ref="F16" dT="2026-05-21T13:12:28.24" personId="{E4920A65-4105-4C95-A94E-2FF15938AC04}" id="{EE9304CC-7EEA-45D6-BFF6-DABC7AD3DD36}" parentId="{98D1D0B3-AB27-4FE7-B3EC-53D3AF3015ED}">
    <text xml:space="preserve">https://www.tradewheel.com/p/polypropylene-granules-virgin-pp-plastic-raw-181123/ </text>
    <extLst>
      <x:ext xmlns:xltc2="http://schemas.microsoft.com/office/spreadsheetml/2020/threadedcomments2" uri="{F7C98A9C-CBB3-438F-8F68-D28B6AF4A901}">
        <xltc2:checksum>2929875375</xltc2:checksum>
        <xltc2:hyperlink startIndex="0" length="81" url="https://www.tradewheel.com/p/polypropylene-granules-virgin-pp-plastic-raw-181123/"/>
      </x:ext>
    </extLst>
  </threadedComment>
  <threadedComment ref="C17" dT="2026-05-21T11:28:54.15" personId="{E4920A65-4105-4C95-A94E-2FF15938AC04}" id="{716E652E-F183-4957-AAE2-3CD5CBB8BEF3}">
    <text xml:space="preserve">https://www.jobted.co.za/salary/project-manager </text>
    <extLst>
      <x:ext xmlns:xltc2="http://schemas.microsoft.com/office/spreadsheetml/2020/threadedcomments2" uri="{F7C98A9C-CBB3-438F-8F68-D28B6AF4A901}">
        <xltc2:checksum>2912844454</xltc2:checksum>
        <xltc2:hyperlink startIndex="0" length="47" url="https://www.jobted.co.za/salary/project-manager"/>
      </x:ext>
    </extLst>
  </threadedComment>
  <threadedComment ref="C18" dT="2026-05-21T11:24:53.23" personId="{E4920A65-4105-4C95-A94E-2FF15938AC04}" id="{660F806C-F244-46D6-90AD-BD396F4A6F62}">
    <text>https://www.ourpower.co.za/jobs/salary/mechanical-engineer</text>
  </threadedComment>
  <threadedComment ref="H18" dT="2026-05-21T12:34:03.68" personId="{E4920A65-4105-4C95-A94E-2FF15938AC04}" id="{BFE47ACB-F743-46AE-B26D-5F3EF5832A76}">
    <text xml:space="preserve">https://www.printandcopy.co.za/printing-2/flyer-price-list/ </text>
    <extLst>
      <x:ext xmlns:xltc2="http://schemas.microsoft.com/office/spreadsheetml/2020/threadedcomments2" uri="{F7C98A9C-CBB3-438F-8F68-D28B6AF4A901}">
        <xltc2:checksum>2560616153</xltc2:checksum>
        <xltc2:hyperlink startIndex="0" length="59" url="https://www.printandcopy.co.za/printing-2/flyer-price-list/"/>
      </x:ext>
    </extLst>
  </threadedComment>
  <threadedComment ref="C19" dT="2026-05-21T12:07:52.67" personId="{D799A273-F4E4-4742-BC86-D875F2FDDB32}" id="{739FA4F7-F4EB-4A71-B831-D40C85099478}">
    <text xml:space="preserve">https://za.indeed.com/career/supply-chain-manager/salaries?from=top_sb </text>
    <extLst>
      <x:ext xmlns:xltc2="http://schemas.microsoft.com/office/spreadsheetml/2020/threadedcomments2" uri="{F7C98A9C-CBB3-438F-8F68-D28B6AF4A901}">
        <xltc2:checksum>1494046287</xltc2:checksum>
        <xltc2:hyperlink startIndex="0" length="70" url="https://za.indeed.com/career/supply-chain-manager/salaries?from=top_sb"/>
      </x:ext>
    </extLst>
  </threadedComment>
  <threadedComment ref="C24" dT="2026-05-21T11:25:14.78" personId="{E4920A65-4105-4C95-A94E-2FF15938AC04}" id="{C983E068-E28A-4A56-85AC-21368DC426E0}">
    <text>https://www.ourpower.co.za/jobs/salary/mechanical-engineer</text>
    <extLst>
      <x:ext xmlns:xltc2="http://schemas.microsoft.com/office/spreadsheetml/2020/threadedcomments2" uri="{F7C98A9C-CBB3-438F-8F68-D28B6AF4A901}">
        <xltc2:checksum>257114650</xltc2:checksum>
        <xltc2:hyperlink startIndex="0" length="58" url="https://www.ourpower.co.za/jobs/salary/mechanical-engineer"/>
      </x:ext>
    </extLst>
  </threadedComment>
  <threadedComment ref="F24" dT="2026-05-21T12:33:40.47" personId="{9100441D-0E39-4FDE-9A34-7E3E9233E91B}" id="{96741FA3-964A-4685-A026-5CA785E361DA}">
    <text>https://www.solidworks.com/how-to-buy/solidworks-design-plans-pricing</text>
    <extLst>
      <x:ext xmlns:xltc2="http://schemas.microsoft.com/office/spreadsheetml/2020/threadedcomments2" uri="{F7C98A9C-CBB3-438F-8F68-D28B6AF4A901}">
        <xltc2:checksum>3897317438</xltc2:checksum>
        <xltc2:hyperlink startIndex="0" length="69" url="https://www.solidworks.com/how-to-buy/solidworks-design-plans-pricing"/>
      </x:ext>
    </extLst>
  </threadedComment>
  <threadedComment ref="C25" dT="2026-05-15T08:11:22.81" personId="{9100441D-0E39-4FDE-9A34-7E3E9233E91B}" id="{B8FC226C-10D9-4F76-943F-BF70D59DF92E}">
    <text>Eilinis inžinierius. Tiek pat kiek 3.3 ir 3.1</text>
  </threadedComment>
  <threadedComment ref="C26" dT="2026-05-15T08:11:22.81" personId="{9100441D-0E39-4FDE-9A34-7E3E9233E91B}" id="{F0E46A63-5BB3-4B46-B416-C78B24D98CA8}">
    <text>Eilinis inžinierius. Tiek pat kiek 3.3 ir 3.1</text>
  </threadedComment>
  <threadedComment ref="C27" dT="2026-05-21T11:25:35.63" personId="{E4920A65-4105-4C95-A94E-2FF15938AC04}" id="{54CD7D77-005A-4D27-83FC-FFA0D2182E49}">
    <text xml:space="preserve">https://www.ourpower.co.za/jobs/salary/mechanical-engineer </text>
    <extLst>
      <x:ext xmlns:xltc2="http://schemas.microsoft.com/office/spreadsheetml/2020/threadedcomments2" uri="{F7C98A9C-CBB3-438F-8F68-D28B6AF4A901}">
        <xltc2:checksum>1107948993</xltc2:checksum>
        <xltc2:hyperlink startIndex="0" length="58" url="https://www.ourpower.co.za/jobs/salary/mechanical-engineer"/>
      </x:ext>
    </extLst>
  </threadedComment>
  <threadedComment ref="C28" dT="2026-05-15T08:11:22.81" personId="{9100441D-0E39-4FDE-9A34-7E3E9233E91B}" id="{147AE204-1B90-4605-B605-FD663F3018ED}">
    <text>Eilinis inžinierius. Tiek pat kiek 3.3 ir 3.1</text>
  </threadedComment>
  <threadedComment ref="C29" dT="2026-05-15T08:11:22.81" personId="{9100441D-0E39-4FDE-9A34-7E3E9233E91B}" id="{5A9172AD-AD63-4E0B-BF32-FBF330D06C16}">
    <text>Eilinis inžinierius. Tiek pat kiek 3.3 ir 3.1</text>
  </threadedComment>
  <threadedComment ref="C30" dT="2026-05-21T11:25:46.22" personId="{E4920A65-4105-4C95-A94E-2FF15938AC04}" id="{EE04BA93-6E81-4076-B740-883F1A7CF71C}">
    <text xml:space="preserve">https://www.ourpower.co.za/jobs/salary/mechanical-engineer </text>
    <extLst>
      <x:ext xmlns:xltc2="http://schemas.microsoft.com/office/spreadsheetml/2020/threadedcomments2" uri="{F7C98A9C-CBB3-438F-8F68-D28B6AF4A901}">
        <xltc2:checksum>1107948993</xltc2:checksum>
        <xltc2:hyperlink startIndex="0" length="58" url="https://www.ourpower.co.za/jobs/salary/mechanical-engineer"/>
      </x:ext>
    </extLst>
  </threadedComment>
  <threadedComment ref="F30" dT="2026-05-21T12:39:29.77" personId="{9100441D-0E39-4FDE-9A34-7E3E9233E91B}" id="{05DEABBB-2FF9-4728-B3EA-AFBD66D88A9C}">
    <text>https://3dprintdesk.com/blog/how-to-calculate-3d-print-costs</text>
    <extLst>
      <x:ext xmlns:xltc2="http://schemas.microsoft.com/office/spreadsheetml/2020/threadedcomments2" uri="{F7C98A9C-CBB3-438F-8F68-D28B6AF4A901}">
        <xltc2:checksum>1886960417</xltc2:checksum>
        <xltc2:hyperlink startIndex="0" length="60" url="https://3dprintdesk.com/blog/how-to-calculate-3d-print-costs"/>
      </x:ext>
    </extLst>
  </threadedComment>
  <threadedComment ref="C31" dT="2026-05-21T11:25:53.16" personId="{E4920A65-4105-4C95-A94E-2FF15938AC04}" id="{3A507E9F-022F-4F70-BF59-2905739A2189}">
    <text xml:space="preserve">https://www.ourpower.co.za/jobs/salary/mechanical-engineer </text>
    <extLst>
      <x:ext xmlns:xltc2="http://schemas.microsoft.com/office/spreadsheetml/2020/threadedcomments2" uri="{F7C98A9C-CBB3-438F-8F68-D28B6AF4A901}">
        <xltc2:checksum>1107948993</xltc2:checksum>
        <xltc2:hyperlink startIndex="0" length="58" url="https://www.ourpower.co.za/jobs/salary/mechanical-engineer"/>
      </x:ext>
    </extLst>
  </threadedComment>
  <threadedComment ref="C33" dT="2026-05-15T08:11:22.81" personId="{9100441D-0E39-4FDE-9A34-7E3E9233E91B}" id="{34456EFF-91D1-4878-A316-20655FD18C37}">
    <text>Eilinis inžinierius. Tiek pat kiek 3.3 ir 3.1</text>
  </threadedComment>
  <threadedComment ref="C33" dT="2026-05-21T11:26:05.56" personId="{E4920A65-4105-4C95-A94E-2FF15938AC04}" id="{8B5A46D4-C3AF-49FB-9067-39E6CFEC92A6}" parentId="{34456EFF-91D1-4878-A316-20655FD18C37}">
    <text>https://www.ourpower.co.za/jobs/salary/mechanical-engineer</text>
  </threadedComment>
  <threadedComment ref="C34" dT="2026-05-15T08:11:22.81" personId="{9100441D-0E39-4FDE-9A34-7E3E9233E91B}" id="{69026531-E2BB-4513-8F84-57A8ACDB397A}">
    <text>Eilinis inžinierius. Tiek pat kiek 3.3 ir 3.1</text>
  </threadedComment>
  <threadedComment ref="C35" dT="2026-05-15T08:11:22.81" personId="{9100441D-0E39-4FDE-9A34-7E3E9233E91B}" id="{BA96CA7E-228E-41E1-AAC6-174158008458}">
    <text>Eilinis inžinierius. Tiek pat kiek 3.3 ir 3.1</text>
  </threadedComment>
  <threadedComment ref="C36" dT="2026-05-15T08:08:02.18" personId="{9100441D-0E39-4FDE-9A34-7E3E9233E91B}" id="{56B34907-F494-4A8D-B7CE-79D3A52938ED}">
    <text>https://za.indeed.com/career/quality-assurance-engineer/salaries (Žiūrėta 2026 05 15)</text>
    <extLst>
      <x:ext xmlns:xltc2="http://schemas.microsoft.com/office/spreadsheetml/2020/threadedcomments2" uri="{F7C98A9C-CBB3-438F-8F68-D28B6AF4A901}">
        <xltc2:checksum>297506243</xltc2:checksum>
        <xltc2:hyperlink startIndex="0" length="64" url="https://za.indeed.com/career/quality-assurance-engineer/salaries"/>
      </x:ext>
    </extLst>
  </threadedComment>
  <threadedComment ref="C38" dT="2026-05-21T11:30:07.34" personId="{E4920A65-4105-4C95-A94E-2FF15938AC04}" id="{10555753-0482-4D19-9B41-32C65BAFC498}">
    <text xml:space="preserve">https://www.ourpower.co.za/jobs/salary/mechanical-engineer </text>
    <extLst>
      <x:ext xmlns:xltc2="http://schemas.microsoft.com/office/spreadsheetml/2020/threadedcomments2" uri="{F7C98A9C-CBB3-438F-8F68-D28B6AF4A901}">
        <xltc2:checksum>1107948993</xltc2:checksum>
        <xltc2:hyperlink startIndex="0" length="58" url="https://www.ourpower.co.za/jobs/salary/mechanical-engineer"/>
      </x:ext>
    </extLst>
  </threadedComment>
  <threadedComment ref="G38" dT="2026-05-21T12:32:09.43" personId="{E4920A65-4105-4C95-A94E-2FF15938AC04}" id="{1423A38A-7A18-454A-B89F-8AF63AFA69BC}">
    <text xml:space="preserve">https://www.gov.za/news/media-statements/minister-gwede-mantashe-announces-adjustment-fuel-prices-effective-6-may-2026
 </text>
    <extLst>
      <x:ext xmlns:xltc2="http://schemas.microsoft.com/office/spreadsheetml/2020/threadedcomments2" uri="{F7C98A9C-CBB3-438F-8F68-D28B6AF4A901}">
        <xltc2:checksum>1832348449</xltc2:checksum>
        <xltc2:hyperlink startIndex="0" length="118" url="https://www.gov.za/news/media-statements/minister-gwede-mantashe-announces-adjustment-fuel-prices-effective-6-may-2026"/>
      </x:ext>
    </extLst>
  </threadedComment>
  <threadedComment ref="C39" dT="2026-05-21T11:30:11.71" personId="{E4920A65-4105-4C95-A94E-2FF15938AC04}" id="{80A2D61F-96B8-4417-8AE2-C0B02E532CCE}">
    <text xml:space="preserve">https://www.ourpower.co.za/jobs/salary/mechanical-engineer </text>
    <extLst>
      <x:ext xmlns:xltc2="http://schemas.microsoft.com/office/spreadsheetml/2020/threadedcomments2" uri="{F7C98A9C-CBB3-438F-8F68-D28B6AF4A901}">
        <xltc2:checksum>1107948993</xltc2:checksum>
        <xltc2:hyperlink startIndex="0" length="58" url="https://www.ourpower.co.za/jobs/salary/mechanical-engineer"/>
      </x:ext>
    </extLst>
  </threadedComment>
  <threadedComment ref="H39" dT="2026-05-21T12:16:37.89" personId="{E4920A65-4105-4C95-A94E-2FF15938AC04}" id="{734D1C71-EC6F-4630-87F4-ACBFCC765842}">
    <text xml:space="preserve">https://www.printandcopy.co.za/printing-2/flyer-price-list/ </text>
    <extLst>
      <x:ext xmlns:xltc2="http://schemas.microsoft.com/office/spreadsheetml/2020/threadedcomments2" uri="{F7C98A9C-CBB3-438F-8F68-D28B6AF4A901}">
        <xltc2:checksum>2560616153</xltc2:checksum>
        <xltc2:hyperlink startIndex="0" length="59" url="https://www.printandcopy.co.za/printing-2/flyer-price-list/"/>
      </x:ext>
    </extLst>
  </threadedComment>
  <threadedComment ref="C40" dT="2026-05-21T11:28:38.38" personId="{E4920A65-4105-4C95-A94E-2FF15938AC04}" id="{36A89C1F-CD4B-461E-A26C-2ACB53D1C501}">
    <text xml:space="preserve">https://www.jobted.co.za/salary/project-manager </text>
    <extLst>
      <x:ext xmlns:xltc2="http://schemas.microsoft.com/office/spreadsheetml/2020/threadedcomments2" uri="{F7C98A9C-CBB3-438F-8F68-D28B6AF4A901}">
        <xltc2:checksum>2912844454</xltc2:checksum>
        <xltc2:hyperlink startIndex="0" length="47" url="https://www.jobted.co.za/salary/project-manager"/>
      </x:ext>
    </extLs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ExcelTemplates/project-budget.html"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www.vertex42.com/ExcelTemplates/project-budget.html" TargetMode="External"/><Relationship Id="rId1" Type="http://schemas.openxmlformats.org/officeDocument/2006/relationships/hyperlink" Target="https://www.vertex42.com/licensing/EULA_privateuse.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02D3D-2A16-4293-B077-0A6DBBC2C91F}">
  <dimension ref="A1:L54"/>
  <sheetViews>
    <sheetView tabSelected="1" topLeftCell="G1" zoomScale="85" workbookViewId="0">
      <selection activeCell="K2" sqref="K2"/>
    </sheetView>
  </sheetViews>
  <sheetFormatPr defaultRowHeight="13.9"/>
  <cols>
    <col min="1" max="1" width="43.25" style="1" customWidth="1"/>
    <col min="2" max="2" width="5.125" style="1" customWidth="1"/>
    <col min="3" max="3" width="7.25" style="1" customWidth="1"/>
    <col min="4" max="4" width="5.125" style="1" customWidth="1"/>
    <col min="5" max="5" width="7.25" style="1" customWidth="1"/>
    <col min="6" max="6" width="13.875" style="1" bestFit="1" customWidth="1"/>
    <col min="7" max="7" width="9.375" style="1" customWidth="1"/>
    <col min="8" max="8" width="8" style="1" customWidth="1"/>
    <col min="9" max="9" width="10.625" style="1" customWidth="1"/>
    <col min="10" max="10" width="26.125" style="1" customWidth="1"/>
    <col min="11" max="11" width="36" bestFit="1" customWidth="1"/>
  </cols>
  <sheetData>
    <row r="1" spans="1:12" ht="21">
      <c r="A1" s="57" t="s">
        <v>0</v>
      </c>
      <c r="L1" s="4" t="s">
        <v>1</v>
      </c>
    </row>
    <row r="3" spans="1:12" ht="34.15" customHeight="1">
      <c r="A3" s="43"/>
      <c r="B3" s="93" t="s">
        <v>2</v>
      </c>
      <c r="C3" s="94"/>
      <c r="D3" s="95" t="s">
        <v>3</v>
      </c>
      <c r="E3" s="95"/>
      <c r="F3" s="95"/>
      <c r="G3" s="96"/>
      <c r="H3" s="41" t="s">
        <v>4</v>
      </c>
      <c r="I3" s="99" t="s">
        <v>5</v>
      </c>
      <c r="J3" s="99" t="s">
        <v>6</v>
      </c>
      <c r="K3" s="88"/>
    </row>
    <row r="4" spans="1:12" ht="14.25">
      <c r="B4" s="93" t="s">
        <v>7</v>
      </c>
      <c r="C4" s="94"/>
      <c r="D4" s="97">
        <v>46174</v>
      </c>
      <c r="E4" s="97"/>
      <c r="F4" s="97"/>
      <c r="G4" s="98"/>
      <c r="H4" s="3"/>
      <c r="I4" s="79">
        <f>SUM(I9+I14+I23+I32+I37)</f>
        <v>29715</v>
      </c>
      <c r="J4" s="79">
        <f>SUM(I9+I14+I23+I32+I37)*1.1</f>
        <v>32686.500000000004</v>
      </c>
    </row>
    <row r="5" spans="1:12" ht="14.25">
      <c r="B5" s="93" t="s">
        <v>8</v>
      </c>
      <c r="C5" s="94"/>
      <c r="D5" s="97">
        <v>46357</v>
      </c>
      <c r="E5" s="97"/>
      <c r="F5" s="97"/>
      <c r="G5" s="98"/>
      <c r="K5" s="88"/>
    </row>
    <row r="6" spans="1:12" ht="14.25">
      <c r="C6" s="55"/>
      <c r="D6" s="56"/>
      <c r="E6" s="56"/>
      <c r="F6" s="56"/>
      <c r="G6" s="56"/>
      <c r="K6" s="88"/>
    </row>
    <row r="7" spans="1:12" ht="14.25">
      <c r="A7" s="2"/>
      <c r="B7" s="92" t="s">
        <v>9</v>
      </c>
      <c r="C7" s="92"/>
      <c r="D7" s="92" t="s">
        <v>10</v>
      </c>
      <c r="E7" s="92"/>
      <c r="F7" s="92" t="s">
        <v>11</v>
      </c>
      <c r="G7" s="92"/>
      <c r="H7" s="92"/>
      <c r="I7" s="2"/>
      <c r="K7" s="88"/>
    </row>
    <row r="8" spans="1:12" ht="14.25">
      <c r="A8" s="37" t="s">
        <v>12</v>
      </c>
      <c r="B8" s="38" t="s">
        <v>13</v>
      </c>
      <c r="C8" s="39" t="s">
        <v>14</v>
      </c>
      <c r="D8" s="38" t="s">
        <v>15</v>
      </c>
      <c r="E8" s="39" t="s">
        <v>16</v>
      </c>
      <c r="F8" s="38" t="s">
        <v>17</v>
      </c>
      <c r="G8" s="40" t="s">
        <v>18</v>
      </c>
      <c r="H8" s="39" t="s">
        <v>19</v>
      </c>
      <c r="I8" s="52" t="s">
        <v>20</v>
      </c>
      <c r="J8" s="52" t="s">
        <v>21</v>
      </c>
      <c r="K8" s="88"/>
    </row>
    <row r="9" spans="1:12">
      <c r="A9" s="45" t="s">
        <v>22</v>
      </c>
      <c r="B9" s="35"/>
      <c r="C9" s="35"/>
      <c r="D9" s="35"/>
      <c r="E9" s="35"/>
      <c r="F9" s="36"/>
      <c r="G9" s="36"/>
      <c r="H9" s="36"/>
      <c r="I9" s="53">
        <f>SUBTOTAL(9,I10:I13)</f>
        <v>2713.2</v>
      </c>
      <c r="J9" s="53"/>
    </row>
    <row r="10" spans="1:12" ht="24">
      <c r="A10" s="44" t="s">
        <v>23</v>
      </c>
      <c r="B10" s="42">
        <v>40</v>
      </c>
      <c r="C10" s="47">
        <v>13.52</v>
      </c>
      <c r="D10" s="42"/>
      <c r="E10" s="47"/>
      <c r="F10" s="49"/>
      <c r="G10" s="50"/>
      <c r="H10" s="51"/>
      <c r="I10" s="54">
        <f>SUM((B10*C10)+(D10*E10)+F10+G10+H10)</f>
        <v>540.79999999999995</v>
      </c>
      <c r="J10" s="78" t="s">
        <v>24</v>
      </c>
    </row>
    <row r="11" spans="1:12" ht="24">
      <c r="A11" s="44" t="s">
        <v>25</v>
      </c>
      <c r="B11" s="42">
        <v>40</v>
      </c>
      <c r="C11" s="47">
        <v>13.52</v>
      </c>
      <c r="D11" s="42"/>
      <c r="E11" s="47"/>
      <c r="F11" s="49"/>
      <c r="G11" s="50"/>
      <c r="H11" s="51"/>
      <c r="I11" s="54">
        <f t="shared" ref="I11:I13" si="0">SUM((B11*C11)+(D11*E11)+F11+G11+H11)</f>
        <v>540.79999999999995</v>
      </c>
      <c r="J11" s="78" t="s">
        <v>24</v>
      </c>
    </row>
    <row r="12" spans="1:12" ht="48">
      <c r="A12" s="44" t="s">
        <v>26</v>
      </c>
      <c r="B12" s="42">
        <v>40</v>
      </c>
      <c r="C12" s="47">
        <v>13.52</v>
      </c>
      <c r="D12" s="42"/>
      <c r="E12" s="47"/>
      <c r="F12" s="49"/>
      <c r="G12" s="50">
        <v>300</v>
      </c>
      <c r="H12" s="51">
        <v>250</v>
      </c>
      <c r="I12" s="54">
        <f>SUM((B12*C12)+(D12*E12)+F12+G12+H12)</f>
        <v>1090.8</v>
      </c>
      <c r="J12" s="78" t="s">
        <v>27</v>
      </c>
    </row>
    <row r="13" spans="1:12" ht="24">
      <c r="A13" s="44" t="s">
        <v>28</v>
      </c>
      <c r="B13" s="42">
        <v>40</v>
      </c>
      <c r="C13" s="47">
        <v>13.52</v>
      </c>
      <c r="D13" s="42"/>
      <c r="E13" s="47"/>
      <c r="F13" s="49"/>
      <c r="G13" s="50"/>
      <c r="H13" s="51"/>
      <c r="I13" s="54">
        <f t="shared" si="0"/>
        <v>540.79999999999995</v>
      </c>
      <c r="J13" s="78" t="s">
        <v>24</v>
      </c>
    </row>
    <row r="14" spans="1:12">
      <c r="A14" s="46" t="s">
        <v>29</v>
      </c>
      <c r="B14" s="34"/>
      <c r="C14" s="48"/>
      <c r="D14" s="34"/>
      <c r="E14" s="48"/>
      <c r="F14" s="48"/>
      <c r="G14" s="48"/>
      <c r="H14" s="48"/>
      <c r="I14" s="53">
        <f>SUBTOTAL(9,I15:I19)</f>
        <v>8334.2000000000007</v>
      </c>
      <c r="J14" s="83"/>
    </row>
    <row r="15" spans="1:12" ht="59.25" customHeight="1">
      <c r="A15" s="44" t="s">
        <v>30</v>
      </c>
      <c r="B15" s="42">
        <v>80</v>
      </c>
      <c r="C15" s="47">
        <v>8.91</v>
      </c>
      <c r="D15" s="42"/>
      <c r="E15" s="47"/>
      <c r="F15" s="49"/>
      <c r="G15" s="50">
        <v>150</v>
      </c>
      <c r="H15" s="51">
        <v>250</v>
      </c>
      <c r="I15" s="81">
        <f>SUM((B15*C15)+(D15*E15)+F15+G15+H15)</f>
        <v>1112.8</v>
      </c>
      <c r="J15" s="84" t="s">
        <v>31</v>
      </c>
    </row>
    <row r="16" spans="1:12" ht="51.75" customHeight="1">
      <c r="A16" s="44" t="s">
        <v>32</v>
      </c>
      <c r="B16" s="42">
        <v>80</v>
      </c>
      <c r="C16" s="47">
        <f>15.94*2</f>
        <v>31.88</v>
      </c>
      <c r="D16" s="42"/>
      <c r="E16" s="47"/>
      <c r="F16" s="49">
        <v>1725</v>
      </c>
      <c r="G16" s="50"/>
      <c r="H16" s="51"/>
      <c r="I16" s="81">
        <f t="shared" ref="I16:I22" si="1">SUM((B16*C16)+(D16*E16)+F16+G16+H16)</f>
        <v>4275.3999999999996</v>
      </c>
      <c r="J16" s="89" t="s">
        <v>33</v>
      </c>
    </row>
    <row r="17" spans="1:11" ht="24">
      <c r="A17" s="44" t="s">
        <v>34</v>
      </c>
      <c r="B17" s="42">
        <v>40</v>
      </c>
      <c r="C17" s="47">
        <v>13.52</v>
      </c>
      <c r="D17" s="42"/>
      <c r="E17" s="47"/>
      <c r="F17" s="49"/>
      <c r="G17" s="50"/>
      <c r="H17" s="51"/>
      <c r="I17" s="81">
        <f t="shared" si="1"/>
        <v>540.79999999999995</v>
      </c>
      <c r="J17" s="80" t="s">
        <v>24</v>
      </c>
      <c r="K17" s="77"/>
    </row>
    <row r="18" spans="1:11" ht="43.5" customHeight="1">
      <c r="A18" s="44" t="s">
        <v>35</v>
      </c>
      <c r="B18" s="42">
        <v>40</v>
      </c>
      <c r="C18" s="47">
        <v>27.42</v>
      </c>
      <c r="D18" s="76"/>
      <c r="E18" s="47"/>
      <c r="F18" s="49"/>
      <c r="G18" s="50"/>
      <c r="H18" s="51">
        <v>250</v>
      </c>
      <c r="I18" s="81">
        <f t="shared" si="1"/>
        <v>1346.8000000000002</v>
      </c>
      <c r="J18" s="84" t="s">
        <v>36</v>
      </c>
      <c r="K18" s="77"/>
    </row>
    <row r="19" spans="1:11" ht="26.25" customHeight="1">
      <c r="A19" s="70" t="s">
        <v>37</v>
      </c>
      <c r="B19" s="42">
        <f>SUM(B20:B22)</f>
        <v>120</v>
      </c>
      <c r="C19" s="47">
        <v>8.82</v>
      </c>
      <c r="D19" s="42"/>
      <c r="E19" s="47"/>
      <c r="F19" s="49"/>
      <c r="G19" s="50"/>
      <c r="H19" s="51"/>
      <c r="I19" s="82">
        <f t="shared" si="1"/>
        <v>1058.4000000000001</v>
      </c>
      <c r="J19" s="85" t="s">
        <v>38</v>
      </c>
    </row>
    <row r="20" spans="1:11" ht="15">
      <c r="A20" s="71" t="s">
        <v>39</v>
      </c>
      <c r="B20" s="42">
        <v>40</v>
      </c>
      <c r="C20" s="47">
        <v>8.82</v>
      </c>
      <c r="D20" s="42"/>
      <c r="E20" s="47"/>
      <c r="F20" s="49"/>
      <c r="G20" s="50"/>
      <c r="H20" s="51"/>
      <c r="I20" s="82">
        <f t="shared" si="1"/>
        <v>352.8</v>
      </c>
      <c r="J20" s="85" t="s">
        <v>38</v>
      </c>
    </row>
    <row r="21" spans="1:11" ht="15">
      <c r="A21" s="71" t="s">
        <v>40</v>
      </c>
      <c r="B21" s="42">
        <v>40</v>
      </c>
      <c r="C21" s="47">
        <v>8.82</v>
      </c>
      <c r="D21" s="42"/>
      <c r="E21" s="47"/>
      <c r="F21" s="49"/>
      <c r="G21" s="50"/>
      <c r="H21" s="51"/>
      <c r="I21" s="82">
        <f t="shared" si="1"/>
        <v>352.8</v>
      </c>
      <c r="J21" s="85" t="s">
        <v>38</v>
      </c>
    </row>
    <row r="22" spans="1:11" ht="15">
      <c r="A22" s="72" t="s">
        <v>41</v>
      </c>
      <c r="B22" s="42">
        <v>40</v>
      </c>
      <c r="C22" s="47">
        <v>8.82</v>
      </c>
      <c r="D22" s="42"/>
      <c r="E22" s="47"/>
      <c r="F22" s="49"/>
      <c r="G22" s="50"/>
      <c r="H22" s="51"/>
      <c r="I22" s="82">
        <f t="shared" si="1"/>
        <v>352.8</v>
      </c>
      <c r="J22" s="85" t="s">
        <v>38</v>
      </c>
      <c r="K22" s="77"/>
    </row>
    <row r="23" spans="1:11">
      <c r="A23" s="45" t="s">
        <v>42</v>
      </c>
      <c r="B23" s="68"/>
      <c r="C23" s="69"/>
      <c r="D23" s="68"/>
      <c r="E23" s="69"/>
      <c r="F23" s="69"/>
      <c r="G23" s="69"/>
      <c r="H23" s="69"/>
      <c r="I23" s="53">
        <f>SUM(I24+I27+I30+I31)</f>
        <v>10965.6</v>
      </c>
      <c r="J23" s="83"/>
    </row>
    <row r="24" spans="1:11" ht="25.5">
      <c r="A24" s="44" t="s">
        <v>43</v>
      </c>
      <c r="B24" s="42">
        <v>80</v>
      </c>
      <c r="C24" s="47">
        <v>16.75</v>
      </c>
      <c r="D24" s="42"/>
      <c r="E24" s="47"/>
      <c r="F24" s="49">
        <v>4152</v>
      </c>
      <c r="G24" s="50"/>
      <c r="H24" s="87"/>
      <c r="I24" s="81">
        <f>SUM((B24*C24)+(D24*E24)+F24+G24+H24)</f>
        <v>5492</v>
      </c>
      <c r="J24" s="84" t="s">
        <v>44</v>
      </c>
    </row>
    <row r="25" spans="1:11" ht="15">
      <c r="A25" s="74" t="s">
        <v>45</v>
      </c>
      <c r="B25" s="42">
        <v>50</v>
      </c>
      <c r="C25" s="47">
        <v>16.75</v>
      </c>
      <c r="D25" s="42"/>
      <c r="E25" s="47"/>
      <c r="F25" s="49"/>
      <c r="G25" s="50"/>
      <c r="H25" s="51"/>
      <c r="I25" s="82">
        <f t="shared" ref="I25:I26" si="2">SUM((B25*C25)+(D25*E25)+F25+G25+H25)</f>
        <v>837.5</v>
      </c>
      <c r="J25" s="85" t="s">
        <v>46</v>
      </c>
    </row>
    <row r="26" spans="1:11" ht="15">
      <c r="A26" s="74" t="s">
        <v>47</v>
      </c>
      <c r="B26" s="42">
        <v>30</v>
      </c>
      <c r="C26" s="47">
        <v>16.75</v>
      </c>
      <c r="D26" s="42"/>
      <c r="E26" s="47"/>
      <c r="F26" s="49"/>
      <c r="G26" s="50"/>
      <c r="H26" s="51"/>
      <c r="I26" s="82">
        <f t="shared" si="2"/>
        <v>502.5</v>
      </c>
      <c r="J26" s="85" t="s">
        <v>46</v>
      </c>
    </row>
    <row r="27" spans="1:11" ht="15">
      <c r="A27" s="44" t="s">
        <v>48</v>
      </c>
      <c r="B27" s="42">
        <v>80</v>
      </c>
      <c r="C27" s="47">
        <v>16.75</v>
      </c>
      <c r="D27" s="42"/>
      <c r="E27" s="47"/>
      <c r="F27" s="49"/>
      <c r="G27" s="50"/>
      <c r="H27" s="51"/>
      <c r="I27" s="54">
        <f t="shared" ref="I27:I31" si="3">SUM((B27*C27)+(D27*E27)+F27+G27+H27)</f>
        <v>1340</v>
      </c>
      <c r="J27" s="85" t="s">
        <v>46</v>
      </c>
    </row>
    <row r="28" spans="1:11" ht="15">
      <c r="A28" s="74" t="s">
        <v>49</v>
      </c>
      <c r="B28" s="42">
        <v>40</v>
      </c>
      <c r="C28" s="47">
        <v>16.75</v>
      </c>
      <c r="D28" s="42"/>
      <c r="E28" s="47"/>
      <c r="F28" s="49"/>
      <c r="G28" s="50"/>
      <c r="H28" s="51"/>
      <c r="I28" s="67">
        <f t="shared" si="3"/>
        <v>670</v>
      </c>
      <c r="J28" s="85" t="s">
        <v>46</v>
      </c>
    </row>
    <row r="29" spans="1:11" ht="15">
      <c r="A29" s="74" t="s">
        <v>50</v>
      </c>
      <c r="B29" s="42">
        <v>40</v>
      </c>
      <c r="C29" s="47">
        <v>16.75</v>
      </c>
      <c r="D29" s="42"/>
      <c r="E29" s="47"/>
      <c r="F29" s="49"/>
      <c r="G29" s="50"/>
      <c r="H29" s="51"/>
      <c r="I29" s="67">
        <f>SUM((B29*C29)+(D29*E29)+F29+G29+H29)</f>
        <v>670</v>
      </c>
      <c r="J29" s="85" t="s">
        <v>46</v>
      </c>
    </row>
    <row r="30" spans="1:11" ht="48.75" customHeight="1">
      <c r="A30" s="44" t="s">
        <v>51</v>
      </c>
      <c r="B30" s="42">
        <v>80</v>
      </c>
      <c r="C30" s="47">
        <v>16.75</v>
      </c>
      <c r="D30" s="42"/>
      <c r="E30" s="47"/>
      <c r="F30" s="49">
        <v>600</v>
      </c>
      <c r="G30" s="50"/>
      <c r="H30" s="51"/>
      <c r="I30" s="54">
        <f>SUM((B30*C30)+(D30*E30)+F30+G30+H30)</f>
        <v>1940</v>
      </c>
      <c r="J30" s="84" t="s">
        <v>52</v>
      </c>
    </row>
    <row r="31" spans="1:11" ht="14.25">
      <c r="A31" s="44" t="s">
        <v>53</v>
      </c>
      <c r="B31" s="42">
        <v>80</v>
      </c>
      <c r="C31" s="47">
        <v>27.42</v>
      </c>
      <c r="D31" s="42"/>
      <c r="E31" s="47"/>
      <c r="F31" s="49"/>
      <c r="G31" s="50"/>
      <c r="H31" s="51"/>
      <c r="I31" s="54">
        <f t="shared" si="3"/>
        <v>2193.6000000000004</v>
      </c>
      <c r="J31" s="84" t="s">
        <v>54</v>
      </c>
    </row>
    <row r="32" spans="1:11" ht="14.25">
      <c r="A32" s="46" t="s">
        <v>55</v>
      </c>
      <c r="B32" s="34"/>
      <c r="C32" s="48"/>
      <c r="D32" s="34"/>
      <c r="E32" s="48"/>
      <c r="F32" s="48"/>
      <c r="G32" s="48"/>
      <c r="H32" s="48"/>
      <c r="I32" s="53">
        <f>SUM(I33+I36)</f>
        <v>3972</v>
      </c>
      <c r="J32" s="53"/>
    </row>
    <row r="33" spans="1:11" ht="15">
      <c r="A33" s="73" t="s">
        <v>56</v>
      </c>
      <c r="B33" s="42">
        <f>+B34+B35</f>
        <v>120</v>
      </c>
      <c r="C33" s="91">
        <f>16.75*2</f>
        <v>33.5</v>
      </c>
      <c r="D33" s="42"/>
      <c r="E33" s="47"/>
      <c r="F33" s="49"/>
      <c r="G33" s="50"/>
      <c r="H33" s="51"/>
      <c r="I33" s="54">
        <f>SUM((B33*C36)+(D33*E33)+F33+G33+H33)</f>
        <v>1986</v>
      </c>
      <c r="J33" s="90" t="s">
        <v>57</v>
      </c>
    </row>
    <row r="34" spans="1:11" ht="15">
      <c r="A34" s="75" t="s">
        <v>58</v>
      </c>
      <c r="B34" s="42">
        <v>60</v>
      </c>
      <c r="C34" s="91">
        <f t="shared" ref="C34:C35" si="4">16.75*2</f>
        <v>33.5</v>
      </c>
      <c r="D34" s="42"/>
      <c r="E34" s="47"/>
      <c r="F34" s="49"/>
      <c r="G34" s="50"/>
      <c r="H34" s="51"/>
      <c r="I34" s="67">
        <f t="shared" ref="I34:I35" si="5">SUM((B34*C34)+(D34*E34)+F34+G34+H34)</f>
        <v>2010</v>
      </c>
      <c r="J34" s="90" t="s">
        <v>57</v>
      </c>
      <c r="K34" s="77"/>
    </row>
    <row r="35" spans="1:11" ht="15">
      <c r="A35" s="75" t="s">
        <v>59</v>
      </c>
      <c r="B35" s="42">
        <v>60</v>
      </c>
      <c r="C35" s="91">
        <f t="shared" si="4"/>
        <v>33.5</v>
      </c>
      <c r="D35" s="42"/>
      <c r="E35" s="47"/>
      <c r="F35" s="49"/>
      <c r="G35" s="50"/>
      <c r="H35" s="51"/>
      <c r="I35" s="67">
        <f t="shared" si="5"/>
        <v>2010</v>
      </c>
      <c r="J35" s="90" t="s">
        <v>57</v>
      </c>
      <c r="K35" s="77"/>
    </row>
    <row r="36" spans="1:11" ht="14.25">
      <c r="A36" s="73" t="s">
        <v>60</v>
      </c>
      <c r="B36" s="42">
        <f>120</f>
        <v>120</v>
      </c>
      <c r="C36" s="91">
        <v>16.55</v>
      </c>
      <c r="D36" s="42"/>
      <c r="E36" s="47"/>
      <c r="F36" s="49"/>
      <c r="G36" s="50"/>
      <c r="H36" s="51"/>
      <c r="I36" s="67">
        <f>SUM((B36*C36)+(D36*E36)+F36+G36+H36)</f>
        <v>1986</v>
      </c>
      <c r="J36" s="86" t="s">
        <v>61</v>
      </c>
    </row>
    <row r="37" spans="1:11" ht="14.25">
      <c r="A37" s="46" t="s">
        <v>62</v>
      </c>
      <c r="B37" s="34"/>
      <c r="C37" s="48"/>
      <c r="D37" s="34"/>
      <c r="E37" s="48"/>
      <c r="F37" s="48"/>
      <c r="G37" s="48"/>
      <c r="H37" s="48"/>
      <c r="I37" s="53">
        <f>SUBTOTAL(9,I38:I40)</f>
        <v>3730</v>
      </c>
      <c r="J37" s="53"/>
    </row>
    <row r="38" spans="1:11" ht="25.5">
      <c r="A38" s="44" t="s">
        <v>63</v>
      </c>
      <c r="B38" s="42">
        <v>40</v>
      </c>
      <c r="C38" s="91">
        <v>27.42</v>
      </c>
      <c r="D38" s="42"/>
      <c r="E38" s="47"/>
      <c r="F38" s="49"/>
      <c r="G38" s="50">
        <v>400</v>
      </c>
      <c r="H38" s="51"/>
      <c r="I38" s="54">
        <f>SUM((B38*C38)+(D38*E38)+F38+G38+H38)</f>
        <v>1496.8000000000002</v>
      </c>
      <c r="J38" s="84" t="s">
        <v>64</v>
      </c>
    </row>
    <row r="39" spans="1:11" ht="45.75" customHeight="1">
      <c r="A39" s="44" t="s">
        <v>65</v>
      </c>
      <c r="B39" s="42">
        <v>60</v>
      </c>
      <c r="C39" s="91">
        <v>27.42</v>
      </c>
      <c r="D39" s="42"/>
      <c r="E39" s="47"/>
      <c r="F39" s="49"/>
      <c r="G39" s="50"/>
      <c r="H39" s="51">
        <v>250</v>
      </c>
      <c r="I39" s="54">
        <f t="shared" ref="I39:I40" si="6">SUM((B39*C39)+(D39*E39)+F39+G39+H39)</f>
        <v>1895.2</v>
      </c>
      <c r="J39" s="84" t="s">
        <v>66</v>
      </c>
    </row>
    <row r="40" spans="1:11" ht="24">
      <c r="A40" s="44" t="s">
        <v>67</v>
      </c>
      <c r="B40" s="42">
        <v>25</v>
      </c>
      <c r="C40" s="91">
        <v>13.52</v>
      </c>
      <c r="D40" s="42"/>
      <c r="E40" s="47"/>
      <c r="F40" s="49"/>
      <c r="G40" s="50"/>
      <c r="H40" s="51"/>
      <c r="I40" s="54">
        <f t="shared" si="6"/>
        <v>338</v>
      </c>
      <c r="J40" s="80" t="s">
        <v>24</v>
      </c>
    </row>
    <row r="41" spans="1:11" ht="14.25"/>
    <row r="42" spans="1:11" ht="14.25"/>
    <row r="43" spans="1:11" ht="14.25"/>
    <row r="44" spans="1:11" ht="14.25"/>
    <row r="45" spans="1:11" ht="14.25"/>
    <row r="46" spans="1:11" ht="14.25"/>
    <row r="47" spans="1:11" ht="14.25"/>
    <row r="48" spans="1:11" ht="14.25"/>
    <row r="49" ht="14.25"/>
    <row r="50" ht="14.25"/>
    <row r="51" ht="14.25"/>
    <row r="52" ht="14.25"/>
    <row r="53" ht="14.25"/>
    <row r="54" ht="14.25"/>
  </sheetData>
  <mergeCells count="9">
    <mergeCell ref="B7:C7"/>
    <mergeCell ref="D7:E7"/>
    <mergeCell ref="F7:H7"/>
    <mergeCell ref="B4:C4"/>
    <mergeCell ref="B3:C3"/>
    <mergeCell ref="B5:C5"/>
    <mergeCell ref="D3:G3"/>
    <mergeCell ref="D4:G4"/>
    <mergeCell ref="D5:G5"/>
  </mergeCells>
  <conditionalFormatting sqref="B8">
    <cfRule type="containsText" dxfId="0" priority="1" operator="containsText" text="Vertex42.com">
      <formula>NOT(ISERROR(SEARCH("Vertex42.com",B8)))</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681C9-8DDF-4915-972C-265CF4E0672E}">
  <dimension ref="A1:L30"/>
  <sheetViews>
    <sheetView workbookViewId="0">
      <selection activeCell="L59" sqref="L59"/>
    </sheetView>
  </sheetViews>
  <sheetFormatPr defaultRowHeight="13.9"/>
  <sheetData>
    <row r="1" spans="1:12" ht="15">
      <c r="A1" s="58"/>
      <c r="B1" s="60"/>
      <c r="C1" s="60"/>
      <c r="D1" s="60"/>
      <c r="E1" s="60"/>
      <c r="F1" s="60"/>
      <c r="G1" s="60"/>
      <c r="H1" s="60"/>
      <c r="I1" s="60"/>
      <c r="J1" s="58"/>
    </row>
    <row r="2" spans="1:12" ht="15">
      <c r="A2" s="62"/>
      <c r="B2" s="59"/>
      <c r="C2" s="59"/>
      <c r="D2" s="59"/>
      <c r="E2" s="59"/>
      <c r="F2" s="59"/>
      <c r="G2" s="59"/>
      <c r="H2" s="59"/>
      <c r="I2" s="59"/>
      <c r="J2" s="61"/>
    </row>
    <row r="3" spans="1:12" ht="14.25">
      <c r="A3" s="61"/>
      <c r="B3" s="59"/>
      <c r="C3" s="65"/>
      <c r="D3" s="59"/>
      <c r="E3" s="63"/>
      <c r="F3" s="63"/>
      <c r="G3" s="63"/>
      <c r="H3" s="63"/>
      <c r="I3" s="63"/>
      <c r="J3" s="61"/>
      <c r="L3" s="66"/>
    </row>
    <row r="4" spans="1:12" ht="14.25">
      <c r="A4" s="61"/>
      <c r="B4" s="59"/>
      <c r="C4" s="65"/>
      <c r="D4" s="59"/>
      <c r="E4" s="63"/>
      <c r="F4" s="63"/>
      <c r="G4" s="63"/>
      <c r="H4" s="63"/>
      <c r="I4" s="63"/>
      <c r="J4" s="61"/>
    </row>
    <row r="5" spans="1:12" ht="14.25">
      <c r="A5" s="61"/>
      <c r="B5" s="59"/>
      <c r="C5" s="65"/>
      <c r="D5" s="59"/>
      <c r="E5" s="63"/>
      <c r="F5" s="63"/>
      <c r="G5" s="63"/>
      <c r="H5" s="63"/>
      <c r="I5" s="63"/>
      <c r="J5" s="61"/>
    </row>
    <row r="6" spans="1:12" ht="14.25">
      <c r="A6" s="61"/>
      <c r="B6" s="59"/>
      <c r="C6" s="63"/>
      <c r="D6" s="59"/>
      <c r="E6" s="63"/>
      <c r="F6" s="63"/>
      <c r="G6" s="63"/>
      <c r="H6" s="63"/>
      <c r="I6" s="63"/>
      <c r="J6" s="61"/>
    </row>
    <row r="7" spans="1:12" ht="15">
      <c r="A7" s="62"/>
      <c r="B7" s="59"/>
      <c r="C7" s="59"/>
      <c r="D7" s="59"/>
      <c r="E7" s="59"/>
      <c r="F7" s="59"/>
      <c r="G7" s="59"/>
      <c r="H7" s="59"/>
      <c r="I7" s="63"/>
      <c r="J7" s="61"/>
    </row>
    <row r="8" spans="1:12" ht="14.25">
      <c r="A8" s="61"/>
      <c r="B8" s="59"/>
      <c r="C8" s="63"/>
      <c r="D8" s="59"/>
      <c r="E8" s="63"/>
      <c r="F8" s="63"/>
      <c r="G8" s="63"/>
      <c r="H8" s="63"/>
      <c r="I8" s="63"/>
      <c r="J8" s="61"/>
    </row>
    <row r="9" spans="1:12" ht="14.25">
      <c r="A9" s="61"/>
      <c r="B9" s="59"/>
      <c r="C9" s="63"/>
      <c r="D9" s="59"/>
      <c r="E9" s="63"/>
      <c r="F9" s="63"/>
      <c r="G9" s="63"/>
      <c r="H9" s="63"/>
      <c r="I9" s="63"/>
      <c r="J9" s="61"/>
    </row>
    <row r="10" spans="1:12" ht="14.25">
      <c r="A10" s="61"/>
      <c r="B10" s="59"/>
      <c r="C10" s="63"/>
      <c r="D10" s="59"/>
      <c r="E10" s="63"/>
      <c r="F10" s="63"/>
      <c r="G10" s="63"/>
      <c r="H10" s="63"/>
      <c r="I10" s="63"/>
      <c r="J10" s="61"/>
    </row>
    <row r="11" spans="1:12" ht="14.25">
      <c r="A11" s="61"/>
      <c r="B11" s="59"/>
      <c r="C11" s="63"/>
      <c r="D11" s="59"/>
      <c r="E11" s="63"/>
      <c r="F11" s="63"/>
      <c r="G11" s="63"/>
      <c r="H11" s="63"/>
      <c r="I11" s="63"/>
      <c r="J11" s="61"/>
    </row>
    <row r="12" spans="1:12" ht="14.25">
      <c r="A12" s="61"/>
      <c r="B12" s="59"/>
      <c r="C12" s="63"/>
      <c r="D12" s="59"/>
      <c r="E12" s="63"/>
      <c r="F12" s="63"/>
      <c r="G12" s="63"/>
      <c r="H12" s="63"/>
      <c r="I12" s="63"/>
      <c r="J12" s="61"/>
    </row>
    <row r="13" spans="1:12" ht="14.25">
      <c r="A13" s="61"/>
      <c r="B13" s="59"/>
      <c r="C13" s="63"/>
      <c r="D13" s="59"/>
      <c r="E13" s="63"/>
      <c r="F13" s="63"/>
      <c r="G13" s="63"/>
      <c r="H13" s="63"/>
      <c r="I13" s="63"/>
      <c r="J13" s="61"/>
    </row>
    <row r="14" spans="1:12" ht="14.25">
      <c r="A14" s="61"/>
      <c r="B14" s="59"/>
      <c r="C14" s="63"/>
      <c r="D14" s="59"/>
      <c r="E14" s="63"/>
      <c r="F14" s="63"/>
      <c r="G14" s="63"/>
      <c r="H14" s="63"/>
      <c r="I14" s="63"/>
      <c r="J14" s="61"/>
    </row>
    <row r="15" spans="1:12" ht="14.25">
      <c r="A15" s="61"/>
      <c r="B15" s="59"/>
      <c r="C15" s="63"/>
      <c r="D15" s="59"/>
      <c r="E15" s="63"/>
      <c r="F15" s="63"/>
      <c r="G15" s="63"/>
      <c r="H15" s="63"/>
      <c r="I15" s="63"/>
      <c r="J15" s="61"/>
    </row>
    <row r="16" spans="1:12" ht="14.25">
      <c r="A16" s="61"/>
      <c r="B16" s="59"/>
      <c r="C16" s="63"/>
      <c r="D16" s="59"/>
      <c r="E16" s="63"/>
      <c r="F16" s="63"/>
      <c r="G16" s="63"/>
      <c r="H16" s="63"/>
      <c r="I16" s="63"/>
      <c r="J16" s="61"/>
    </row>
    <row r="17" spans="1:10" ht="14.25">
      <c r="A17" s="61"/>
      <c r="B17" s="59"/>
      <c r="C17" s="63"/>
      <c r="D17" s="59"/>
      <c r="E17" s="63"/>
      <c r="F17" s="63"/>
      <c r="G17" s="63"/>
      <c r="H17" s="63"/>
      <c r="I17" s="63"/>
      <c r="J17" s="61"/>
    </row>
    <row r="18" spans="1:10" ht="15">
      <c r="A18" s="62"/>
      <c r="B18" s="59"/>
      <c r="C18" s="59"/>
      <c r="D18" s="59"/>
      <c r="E18" s="59"/>
      <c r="F18" s="59"/>
      <c r="G18" s="59"/>
      <c r="H18" s="59"/>
      <c r="I18" s="63"/>
      <c r="J18" s="61"/>
    </row>
    <row r="19" spans="1:10" ht="14.25">
      <c r="A19" s="61"/>
      <c r="B19" s="59"/>
      <c r="C19" s="63"/>
      <c r="D19" s="59"/>
      <c r="E19" s="63"/>
      <c r="F19" s="63"/>
      <c r="G19" s="63"/>
      <c r="H19" s="63"/>
      <c r="I19" s="63"/>
      <c r="J19" s="61"/>
    </row>
    <row r="20" spans="1:10" ht="14.25">
      <c r="A20" s="61"/>
      <c r="B20" s="59"/>
      <c r="C20" s="63"/>
      <c r="D20" s="59"/>
      <c r="E20" s="63"/>
      <c r="F20" s="63"/>
      <c r="G20" s="63"/>
      <c r="H20" s="63"/>
      <c r="I20" s="63"/>
      <c r="J20" s="61"/>
    </row>
    <row r="21" spans="1:10" ht="14.25">
      <c r="A21" s="61"/>
      <c r="B21" s="59"/>
      <c r="C21" s="63"/>
      <c r="D21" s="59"/>
      <c r="E21" s="63"/>
      <c r="F21" s="63"/>
      <c r="G21" s="63"/>
      <c r="H21" s="63"/>
      <c r="I21" s="63"/>
      <c r="J21" s="61"/>
    </row>
    <row r="22" spans="1:10" ht="14.25">
      <c r="A22" s="61"/>
      <c r="B22" s="59"/>
      <c r="C22" s="63"/>
      <c r="D22" s="59"/>
      <c r="E22" s="63"/>
      <c r="F22" s="63"/>
      <c r="G22" s="63"/>
      <c r="H22" s="63"/>
      <c r="I22" s="63"/>
      <c r="J22" s="61"/>
    </row>
    <row r="23" spans="1:10" ht="15">
      <c r="A23" s="62"/>
      <c r="B23" s="59"/>
      <c r="C23" s="59"/>
      <c r="D23" s="59"/>
      <c r="E23" s="59"/>
      <c r="F23" s="59"/>
      <c r="G23" s="59"/>
      <c r="H23" s="59"/>
      <c r="I23" s="63"/>
      <c r="J23" s="61"/>
    </row>
    <row r="24" spans="1:10" ht="14.25">
      <c r="A24" s="61"/>
      <c r="B24" s="59"/>
      <c r="C24" s="63"/>
      <c r="D24" s="59"/>
      <c r="E24" s="63"/>
      <c r="F24" s="63"/>
      <c r="G24" s="63"/>
      <c r="H24" s="63"/>
      <c r="I24" s="63"/>
      <c r="J24" s="61"/>
    </row>
    <row r="25" spans="1:10" ht="14.25">
      <c r="A25" s="61"/>
      <c r="B25" s="59"/>
      <c r="C25" s="63"/>
      <c r="D25" s="59"/>
      <c r="E25" s="63"/>
      <c r="F25" s="63"/>
      <c r="G25" s="63"/>
      <c r="H25" s="63"/>
      <c r="I25" s="63"/>
      <c r="J25" s="61"/>
    </row>
    <row r="26" spans="1:10" ht="15">
      <c r="A26" s="62"/>
      <c r="B26" s="59"/>
      <c r="C26" s="59"/>
      <c r="D26" s="59"/>
      <c r="E26" s="59"/>
      <c r="F26" s="59"/>
      <c r="G26" s="59"/>
      <c r="H26" s="59"/>
      <c r="I26" s="63"/>
      <c r="J26" s="61"/>
    </row>
    <row r="27" spans="1:10" ht="14.25">
      <c r="A27" s="61"/>
      <c r="B27" s="59"/>
      <c r="C27" s="63"/>
      <c r="D27" s="59"/>
      <c r="E27" s="63"/>
      <c r="F27" s="63"/>
      <c r="G27" s="63"/>
      <c r="H27" s="63"/>
      <c r="I27" s="63"/>
      <c r="J27" s="61"/>
    </row>
    <row r="28" spans="1:10" ht="14.25">
      <c r="A28" s="61"/>
      <c r="B28" s="59"/>
      <c r="C28" s="63"/>
      <c r="D28" s="59"/>
      <c r="E28" s="63"/>
      <c r="F28" s="63"/>
      <c r="G28" s="63"/>
      <c r="H28" s="63"/>
      <c r="I28" s="63"/>
      <c r="J28" s="61"/>
    </row>
    <row r="29" spans="1:10" ht="14.25">
      <c r="A29" s="61"/>
      <c r="B29" s="59"/>
      <c r="C29" s="63"/>
      <c r="D29" s="59"/>
      <c r="E29" s="63"/>
      <c r="F29" s="63"/>
      <c r="G29" s="63"/>
      <c r="H29" s="63"/>
      <c r="I29" s="63"/>
      <c r="J29" s="61"/>
    </row>
    <row r="30" spans="1:10" ht="15">
      <c r="A30" s="61"/>
      <c r="B30" s="59"/>
      <c r="C30" s="59"/>
      <c r="D30" s="59"/>
      <c r="E30" s="59"/>
      <c r="F30" s="59"/>
      <c r="G30" s="59"/>
      <c r="H30" s="60"/>
      <c r="I30" s="64"/>
      <c r="J30" s="6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F6D03-4CAD-4DB2-99AF-3A93826A2CFD}">
  <dimension ref="A1:C19"/>
  <sheetViews>
    <sheetView showGridLines="0" workbookViewId="0"/>
  </sheetViews>
  <sheetFormatPr defaultColWidth="9" defaultRowHeight="13.9"/>
  <cols>
    <col min="1" max="1" width="4.625" style="19" customWidth="1"/>
    <col min="2" max="2" width="74.625" style="19" customWidth="1"/>
    <col min="3" max="3" width="4.625" style="19" customWidth="1"/>
    <col min="4" max="16384" width="9" style="19"/>
  </cols>
  <sheetData>
    <row r="1" spans="1:3" ht="40.15" customHeight="1">
      <c r="A1" s="18"/>
      <c r="B1" s="18" t="s">
        <v>68</v>
      </c>
      <c r="C1" s="18"/>
    </row>
    <row r="2" spans="1:3">
      <c r="A2" s="20"/>
      <c r="B2" s="30" t="s">
        <v>69</v>
      </c>
      <c r="C2" s="20"/>
    </row>
    <row r="3" spans="1:3">
      <c r="A3" s="21"/>
      <c r="B3" s="25"/>
      <c r="C3" s="21"/>
    </row>
    <row r="4" spans="1:3" ht="15.6">
      <c r="B4" s="29" t="s">
        <v>70</v>
      </c>
      <c r="C4" s="21"/>
    </row>
    <row r="5" spans="1:3" ht="55.15">
      <c r="A5" s="21"/>
      <c r="B5" s="33" t="s">
        <v>71</v>
      </c>
      <c r="C5" s="21"/>
    </row>
    <row r="6" spans="1:3">
      <c r="A6" s="21"/>
      <c r="B6" s="28"/>
      <c r="C6" s="21"/>
    </row>
    <row r="7" spans="1:3" ht="15.6">
      <c r="A7" s="22"/>
      <c r="B7" s="29" t="s">
        <v>72</v>
      </c>
      <c r="C7" s="23"/>
    </row>
    <row r="8" spans="1:3" ht="41.45">
      <c r="A8" s="21"/>
      <c r="B8" s="32" t="s">
        <v>73</v>
      </c>
      <c r="C8" s="21"/>
    </row>
    <row r="9" spans="1:3">
      <c r="A9" s="21"/>
      <c r="B9" s="28"/>
      <c r="C9" s="21"/>
    </row>
    <row r="10" spans="1:3" ht="15.6">
      <c r="A10" s="22"/>
      <c r="B10" s="29" t="s">
        <v>74</v>
      </c>
      <c r="C10" s="23"/>
    </row>
    <row r="11" spans="1:3" ht="41.45">
      <c r="A11" s="24"/>
      <c r="B11" s="32" t="s">
        <v>75</v>
      </c>
      <c r="C11" s="21"/>
    </row>
    <row r="12" spans="1:3">
      <c r="A12" s="24"/>
      <c r="B12" s="31"/>
      <c r="C12" s="21"/>
    </row>
    <row r="13" spans="1:3" ht="41.45">
      <c r="A13" s="24"/>
      <c r="B13" s="32" t="s">
        <v>76</v>
      </c>
      <c r="C13" s="21"/>
    </row>
    <row r="14" spans="1:3">
      <c r="A14" s="24"/>
      <c r="B14" s="27"/>
      <c r="C14" s="21"/>
    </row>
    <row r="15" spans="1:3" ht="15.6">
      <c r="A15" s="24"/>
      <c r="B15" s="29" t="s">
        <v>77</v>
      </c>
      <c r="C15" s="21"/>
    </row>
    <row r="16" spans="1:3" ht="27.6">
      <c r="A16" s="24"/>
      <c r="B16" s="32" t="s">
        <v>78</v>
      </c>
      <c r="C16" s="21"/>
    </row>
    <row r="17" spans="2:2">
      <c r="B17" s="26"/>
    </row>
    <row r="18" spans="2:2">
      <c r="B18" s="26"/>
    </row>
    <row r="19" spans="2:2">
      <c r="B19" s="26"/>
    </row>
  </sheetData>
  <hyperlinks>
    <hyperlink ref="B2" r:id="rId1" xr:uid="{8593390A-18B2-4516-842D-CB36FF4BF961}"/>
  </hyperlinks>
  <pageMargins left="0.7" right="0.7" top="0.75" bottom="0.75" header="0.3" footer="0.3"/>
  <pageSetup orientation="portrait" horizontalDpi="1200" verticalDpi="120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A0E5-E6CE-425F-A845-8FCBA368323B}">
  <dimension ref="A1:C17"/>
  <sheetViews>
    <sheetView showGridLines="0" workbookViewId="0">
      <selection activeCell="A3" sqref="A3"/>
    </sheetView>
  </sheetViews>
  <sheetFormatPr defaultRowHeight="13.9"/>
  <cols>
    <col min="1" max="1" width="4.625" customWidth="1"/>
    <col min="2" max="2" width="74.625" customWidth="1"/>
    <col min="3" max="3" width="4.625" customWidth="1"/>
  </cols>
  <sheetData>
    <row r="1" spans="1:3" ht="40.15" customHeight="1">
      <c r="A1" s="5"/>
      <c r="B1" s="5" t="s">
        <v>79</v>
      </c>
      <c r="C1" s="5"/>
    </row>
    <row r="2" spans="1:3" ht="14.45">
      <c r="A2" s="6"/>
      <c r="B2" s="14"/>
      <c r="C2" s="6"/>
    </row>
    <row r="3" spans="1:3">
      <c r="A3" s="7"/>
      <c r="B3" s="8" t="s">
        <v>80</v>
      </c>
      <c r="C3" s="7"/>
    </row>
    <row r="4" spans="1:3">
      <c r="A4" s="7"/>
      <c r="B4" s="15" t="s">
        <v>81</v>
      </c>
      <c r="C4" s="7"/>
    </row>
    <row r="5" spans="1:3" ht="15">
      <c r="A5" s="7"/>
      <c r="B5" s="13"/>
      <c r="C5" s="7"/>
    </row>
    <row r="6" spans="1:3" ht="15.6">
      <c r="A6" s="7"/>
      <c r="B6" s="16" t="s">
        <v>1</v>
      </c>
      <c r="C6" s="7"/>
    </row>
    <row r="7" spans="1:3" ht="15">
      <c r="A7" s="10"/>
      <c r="B7" s="13"/>
      <c r="C7" s="11"/>
    </row>
    <row r="8" spans="1:3" ht="30">
      <c r="A8" s="12"/>
      <c r="B8" s="9" t="s">
        <v>82</v>
      </c>
      <c r="C8" s="7"/>
    </row>
    <row r="9" spans="1:3" ht="15">
      <c r="A9" s="12"/>
      <c r="B9" s="13"/>
      <c r="C9" s="7"/>
    </row>
    <row r="10" spans="1:3" ht="30">
      <c r="A10" s="12"/>
      <c r="B10" s="9" t="s">
        <v>83</v>
      </c>
      <c r="C10" s="7"/>
    </row>
    <row r="11" spans="1:3" ht="15">
      <c r="A11" s="12"/>
      <c r="B11" s="13"/>
      <c r="C11" s="7"/>
    </row>
    <row r="12" spans="1:3" ht="30">
      <c r="A12" s="12"/>
      <c r="B12" s="9" t="s">
        <v>84</v>
      </c>
      <c r="C12" s="7"/>
    </row>
    <row r="13" spans="1:3" ht="15">
      <c r="A13" s="12"/>
      <c r="B13" s="13"/>
      <c r="C13" s="7"/>
    </row>
    <row r="14" spans="1:3" ht="15.6">
      <c r="A14" s="12"/>
      <c r="B14" s="16" t="s">
        <v>85</v>
      </c>
      <c r="C14" s="7"/>
    </row>
    <row r="15" spans="1:3">
      <c r="A15" s="12"/>
      <c r="B15" s="15" t="s">
        <v>86</v>
      </c>
      <c r="C15" s="7"/>
    </row>
    <row r="16" spans="1:3" ht="15">
      <c r="A16" s="12"/>
      <c r="B16" s="13"/>
      <c r="C16" s="7"/>
    </row>
    <row r="17" spans="1:3" ht="15">
      <c r="A17" s="12"/>
      <c r="B17" s="17" t="s">
        <v>87</v>
      </c>
      <c r="C17" s="7"/>
    </row>
  </sheetData>
  <hyperlinks>
    <hyperlink ref="B15" r:id="rId1" xr:uid="{9DB0A0D7-BDD8-494B-B707-2ECA6217C71B}"/>
    <hyperlink ref="B4" r:id="rId2" xr:uid="{979FDC12-92A9-4E6D-87F8-9FF654FE9FC1}"/>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Vertex42 LLC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Budget Template</dc:title>
  <dc:subject/>
  <dc:creator>Vertex42.com</dc:creator>
  <cp:keywords/>
  <dc:description>© 2019 Vertex42 LLC. All Rights Reserved.</dc:description>
  <cp:lastModifiedBy>Mantė Vėželytė</cp:lastModifiedBy>
  <cp:revision/>
  <dcterms:created xsi:type="dcterms:W3CDTF">2019-03-21T16:44:15Z</dcterms:created>
  <dcterms:modified xsi:type="dcterms:W3CDTF">2026-05-22T07:57:55Z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 2019 Vertex42 LLC. All Rights Reserved.</vt:lpwstr>
  </property>
  <property fmtid="{D5CDD505-2E9C-101B-9397-08002B2CF9AE}" pid="3" name="Version">
    <vt:lpwstr>1.0.0</vt:lpwstr>
  </property>
  <property fmtid="{D5CDD505-2E9C-101B-9397-08002B2CF9AE}" pid="4" name="Source">
    <vt:lpwstr>https://www.vertex42.com/ExcelTemplates/project-budget.html</vt:lpwstr>
  </property>
</Properties>
</file>